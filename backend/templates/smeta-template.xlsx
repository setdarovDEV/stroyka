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Намуна\"/>
    </mc:Choice>
  </mc:AlternateContent>
  <xr:revisionPtr revIDLastSave="0" documentId="13_ncr:1_{53580894-7711-49AA-8B66-4B4395CA7A60}" xr6:coauthVersionLast="47" xr6:coauthVersionMax="47" xr10:uidLastSave="{00000000-0000-0000-0000-000000000000}"/>
  <bookViews>
    <workbookView xWindow="-120" yWindow="-120" windowWidth="29040" windowHeight="15720" tabRatio="745" xr2:uid="{00000000-000D-0000-FFFF-FFFF00000000}"/>
  </bookViews>
  <sheets>
    <sheet name="_ЛРВ" sheetId="1" r:id="rId1"/>
    <sheet name="_РС" sheetId="3" r:id="rId2"/>
    <sheet name="Лист1" sheetId="2" r:id="rId3"/>
  </sheets>
  <definedNames>
    <definedName name="_xlnm._FilterDatabase" localSheetId="0" hidden="1">_ЛРВ!$A$15:$R$798</definedName>
    <definedName name="_xlnm.Print_Titles" localSheetId="0">_ЛРВ!$14:$14</definedName>
    <definedName name="_xlnm.Print_Titles" localSheetId="1">_РС!$14:$14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2" i="1" l="1"/>
  <c r="K794" i="1"/>
  <c r="K795" i="1"/>
  <c r="K1056" i="1"/>
  <c r="K1054" i="1"/>
  <c r="K1049" i="1"/>
  <c r="P1051" i="1"/>
  <c r="P1012" i="1"/>
  <c r="P979" i="1"/>
  <c r="P973" i="1"/>
  <c r="P928" i="1"/>
  <c r="P927" i="1"/>
  <c r="P1049" i="1" s="1"/>
  <c r="P921" i="1"/>
  <c r="P914" i="1"/>
  <c r="P913" i="1"/>
  <c r="P907" i="1"/>
  <c r="P865" i="1"/>
  <c r="P849" i="1"/>
  <c r="P1823" i="1"/>
  <c r="K1829" i="1"/>
  <c r="K1828" i="1"/>
  <c r="K1826" i="1"/>
  <c r="K1825" i="1"/>
  <c r="K1824" i="1"/>
  <c r="K1823" i="1"/>
  <c r="K1822" i="1"/>
  <c r="K1821" i="1"/>
  <c r="P1821" i="1"/>
  <c r="O1821" i="1"/>
  <c r="O1823" i="1" s="1"/>
  <c r="I1820" i="1"/>
  <c r="N1820" i="1" s="1"/>
  <c r="N1819" i="1"/>
  <c r="K1819" i="1"/>
  <c r="N1818" i="1"/>
  <c r="K1818" i="1"/>
  <c r="N1817" i="1"/>
  <c r="K1817" i="1"/>
  <c r="N1816" i="1"/>
  <c r="K1816" i="1"/>
  <c r="M1815" i="1"/>
  <c r="K1815" i="1"/>
  <c r="M1814" i="1"/>
  <c r="K1814" i="1"/>
  <c r="M1813" i="1"/>
  <c r="K1813" i="1"/>
  <c r="L1812" i="1"/>
  <c r="K1812" i="1"/>
  <c r="L1811" i="1"/>
  <c r="K1811" i="1"/>
  <c r="N1808" i="1"/>
  <c r="K1808" i="1"/>
  <c r="N1807" i="1"/>
  <c r="K1807" i="1"/>
  <c r="M1806" i="1"/>
  <c r="K1806" i="1"/>
  <c r="M1805" i="1"/>
  <c r="K1805" i="1"/>
  <c r="L1804" i="1"/>
  <c r="K1804" i="1"/>
  <c r="L1803" i="1"/>
  <c r="K1803" i="1"/>
  <c r="N1801" i="1"/>
  <c r="K1801" i="1"/>
  <c r="M1800" i="1"/>
  <c r="K1800" i="1"/>
  <c r="M1799" i="1"/>
  <c r="K1799" i="1"/>
  <c r="L1798" i="1"/>
  <c r="K1798" i="1"/>
  <c r="L1797" i="1"/>
  <c r="K1797" i="1"/>
  <c r="I1795" i="1"/>
  <c r="K1795" i="1" s="1"/>
  <c r="N1794" i="1"/>
  <c r="K1794" i="1"/>
  <c r="N1793" i="1"/>
  <c r="K1793" i="1"/>
  <c r="N1792" i="1"/>
  <c r="K1792" i="1"/>
  <c r="N1791" i="1"/>
  <c r="K1791" i="1"/>
  <c r="M1790" i="1"/>
  <c r="K1790" i="1"/>
  <c r="M1789" i="1"/>
  <c r="K1789" i="1"/>
  <c r="M1788" i="1"/>
  <c r="K1788" i="1"/>
  <c r="L1787" i="1"/>
  <c r="K1787" i="1"/>
  <c r="L1786" i="1"/>
  <c r="K1786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M1778" i="1"/>
  <c r="K1778" i="1"/>
  <c r="M1777" i="1"/>
  <c r="K1777" i="1"/>
  <c r="M1776" i="1"/>
  <c r="K1776" i="1"/>
  <c r="M1775" i="1"/>
  <c r="K1775" i="1"/>
  <c r="M1774" i="1"/>
  <c r="K1774" i="1"/>
  <c r="L1773" i="1"/>
  <c r="K1773" i="1"/>
  <c r="L1772" i="1"/>
  <c r="K1772" i="1"/>
  <c r="N1769" i="1"/>
  <c r="K1769" i="1"/>
  <c r="M1768" i="1"/>
  <c r="K1768" i="1"/>
  <c r="M1767" i="1"/>
  <c r="K1767" i="1"/>
  <c r="L1766" i="1"/>
  <c r="K1766" i="1"/>
  <c r="L1765" i="1"/>
  <c r="K1765" i="1"/>
  <c r="N1763" i="1"/>
  <c r="K1763" i="1"/>
  <c r="M1762" i="1"/>
  <c r="K1762" i="1"/>
  <c r="M1761" i="1"/>
  <c r="K1761" i="1"/>
  <c r="L1760" i="1"/>
  <c r="K1760" i="1"/>
  <c r="L1759" i="1"/>
  <c r="K1759" i="1"/>
  <c r="I1757" i="1"/>
  <c r="N1757" i="1" s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M1749" i="1"/>
  <c r="K1749" i="1"/>
  <c r="M1748" i="1"/>
  <c r="K1748" i="1"/>
  <c r="M1747" i="1"/>
  <c r="K1747" i="1"/>
  <c r="M1746" i="1"/>
  <c r="K1746" i="1"/>
  <c r="L1745" i="1"/>
  <c r="K1745" i="1"/>
  <c r="L1744" i="1"/>
  <c r="K1744" i="1"/>
  <c r="N1742" i="1"/>
  <c r="K1742" i="1"/>
  <c r="M1741" i="1"/>
  <c r="K1741" i="1"/>
  <c r="M1740" i="1"/>
  <c r="K1740" i="1"/>
  <c r="L1739" i="1"/>
  <c r="K1739" i="1"/>
  <c r="L1738" i="1"/>
  <c r="K1738" i="1"/>
  <c r="N1736" i="1"/>
  <c r="K1736" i="1"/>
  <c r="M1735" i="1"/>
  <c r="K1735" i="1"/>
  <c r="M1734" i="1"/>
  <c r="K1734" i="1"/>
  <c r="L1733" i="1"/>
  <c r="K1733" i="1"/>
  <c r="L1732" i="1"/>
  <c r="K1732" i="1"/>
  <c r="N1729" i="1"/>
  <c r="K1729" i="1"/>
  <c r="M1728" i="1"/>
  <c r="K1728" i="1"/>
  <c r="M1727" i="1"/>
  <c r="K1727" i="1"/>
  <c r="L1726" i="1"/>
  <c r="K1726" i="1"/>
  <c r="L1725" i="1"/>
  <c r="K1725" i="1"/>
  <c r="N1723" i="1"/>
  <c r="K1723" i="1"/>
  <c r="M1722" i="1"/>
  <c r="K1722" i="1"/>
  <c r="M1721" i="1"/>
  <c r="K1721" i="1"/>
  <c r="L1720" i="1"/>
  <c r="K1720" i="1"/>
  <c r="L1719" i="1"/>
  <c r="K1719" i="1"/>
  <c r="I1716" i="1"/>
  <c r="K1716" i="1" s="1"/>
  <c r="I1715" i="1"/>
  <c r="N1715" i="1" s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M1707" i="1"/>
  <c r="K1707" i="1"/>
  <c r="M1706" i="1"/>
  <c r="K1706" i="1"/>
  <c r="M1705" i="1"/>
  <c r="K1705" i="1"/>
  <c r="L1704" i="1"/>
  <c r="K1704" i="1"/>
  <c r="L1703" i="1"/>
  <c r="K1703" i="1"/>
  <c r="I1701" i="1"/>
  <c r="N1701" i="1" s="1"/>
  <c r="I1700" i="1"/>
  <c r="K1700" i="1" s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M1692" i="1"/>
  <c r="K1692" i="1"/>
  <c r="M1691" i="1"/>
  <c r="K1691" i="1"/>
  <c r="M1690" i="1"/>
  <c r="K1690" i="1"/>
  <c r="M1689" i="1"/>
  <c r="K1689" i="1"/>
  <c r="M1688" i="1"/>
  <c r="K1688" i="1"/>
  <c r="M1687" i="1"/>
  <c r="K1687" i="1"/>
  <c r="L1686" i="1"/>
  <c r="K1686" i="1"/>
  <c r="L1685" i="1"/>
  <c r="K1685" i="1"/>
  <c r="I1683" i="1"/>
  <c r="K1683" i="1" s="1"/>
  <c r="I1682" i="1"/>
  <c r="N1682" i="1" s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M1674" i="1"/>
  <c r="K1674" i="1"/>
  <c r="M1673" i="1"/>
  <c r="K1673" i="1"/>
  <c r="M1672" i="1"/>
  <c r="K1672" i="1"/>
  <c r="M1671" i="1"/>
  <c r="K1671" i="1"/>
  <c r="M1670" i="1"/>
  <c r="K1670" i="1"/>
  <c r="M1669" i="1"/>
  <c r="K1669" i="1"/>
  <c r="L1668" i="1"/>
  <c r="K1668" i="1"/>
  <c r="L1667" i="1"/>
  <c r="K1667" i="1"/>
  <c r="I1665" i="1"/>
  <c r="N1665" i="1" s="1"/>
  <c r="N1664" i="1"/>
  <c r="K1664" i="1"/>
  <c r="N1663" i="1"/>
  <c r="K1663" i="1"/>
  <c r="M1662" i="1"/>
  <c r="K1662" i="1"/>
  <c r="M1661" i="1"/>
  <c r="K1661" i="1"/>
  <c r="L1660" i="1"/>
  <c r="K1660" i="1"/>
  <c r="L1659" i="1"/>
  <c r="K1659" i="1"/>
  <c r="I1656" i="1"/>
  <c r="N1656" i="1" s="1"/>
  <c r="I1655" i="1"/>
  <c r="K1655" i="1" s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M1647" i="1"/>
  <c r="K1647" i="1"/>
  <c r="M1646" i="1"/>
  <c r="K1646" i="1"/>
  <c r="M1645" i="1"/>
  <c r="K1645" i="1"/>
  <c r="L1644" i="1"/>
  <c r="K1644" i="1"/>
  <c r="L1643" i="1"/>
  <c r="K1643" i="1"/>
  <c r="I1641" i="1"/>
  <c r="N1641" i="1" s="1"/>
  <c r="I1640" i="1"/>
  <c r="N1640" i="1" s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M1632" i="1"/>
  <c r="K1632" i="1"/>
  <c r="M1631" i="1"/>
  <c r="K1631" i="1"/>
  <c r="M1630" i="1"/>
  <c r="K1630" i="1"/>
  <c r="M1629" i="1"/>
  <c r="K1629" i="1"/>
  <c r="M1628" i="1"/>
  <c r="K1628" i="1"/>
  <c r="M1627" i="1"/>
  <c r="K1627" i="1"/>
  <c r="L1626" i="1"/>
  <c r="K1626" i="1"/>
  <c r="L1625" i="1"/>
  <c r="K1625" i="1"/>
  <c r="I1623" i="1"/>
  <c r="N1623" i="1" s="1"/>
  <c r="I1622" i="1"/>
  <c r="K1622" i="1" s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M1614" i="1"/>
  <c r="K1614" i="1"/>
  <c r="M1613" i="1"/>
  <c r="K1613" i="1"/>
  <c r="M1612" i="1"/>
  <c r="K1612" i="1"/>
  <c r="M1611" i="1"/>
  <c r="K1611" i="1"/>
  <c r="M1610" i="1"/>
  <c r="K1610" i="1"/>
  <c r="M1609" i="1"/>
  <c r="K1609" i="1"/>
  <c r="L1608" i="1"/>
  <c r="K1608" i="1"/>
  <c r="L1607" i="1"/>
  <c r="K1607" i="1"/>
  <c r="I1605" i="1"/>
  <c r="N1605" i="1" s="1"/>
  <c r="N1604" i="1"/>
  <c r="K1604" i="1"/>
  <c r="N1603" i="1"/>
  <c r="K1603" i="1"/>
  <c r="M1602" i="1"/>
  <c r="K1602" i="1"/>
  <c r="M1601" i="1"/>
  <c r="K1601" i="1"/>
  <c r="L1600" i="1"/>
  <c r="K1600" i="1"/>
  <c r="L1599" i="1"/>
  <c r="K1599" i="1"/>
  <c r="N1596" i="1"/>
  <c r="K1596" i="1"/>
  <c r="N1595" i="1"/>
  <c r="K1595" i="1"/>
  <c r="M1594" i="1"/>
  <c r="K1594" i="1"/>
  <c r="M1593" i="1"/>
  <c r="K1593" i="1"/>
  <c r="L1592" i="1"/>
  <c r="K1592" i="1"/>
  <c r="L1591" i="1"/>
  <c r="K1591" i="1"/>
  <c r="N1589" i="1"/>
  <c r="K1589" i="1"/>
  <c r="M1588" i="1"/>
  <c r="K1588" i="1"/>
  <c r="M1587" i="1"/>
  <c r="K1587" i="1"/>
  <c r="L1586" i="1"/>
  <c r="K1586" i="1"/>
  <c r="L1585" i="1"/>
  <c r="K1585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M1569" i="1"/>
  <c r="K1569" i="1"/>
  <c r="M1568" i="1"/>
  <c r="K1568" i="1"/>
  <c r="M1567" i="1"/>
  <c r="K1567" i="1"/>
  <c r="M1566" i="1"/>
  <c r="K1566" i="1"/>
  <c r="M1565" i="1"/>
  <c r="K1565" i="1"/>
  <c r="M1564" i="1"/>
  <c r="K1564" i="1"/>
  <c r="M1563" i="1"/>
  <c r="K1563" i="1"/>
  <c r="M1562" i="1"/>
  <c r="K1562" i="1"/>
  <c r="M1561" i="1"/>
  <c r="K1561" i="1"/>
  <c r="L1560" i="1"/>
  <c r="K1560" i="1"/>
  <c r="L1559" i="1"/>
  <c r="K1559" i="1"/>
  <c r="I1556" i="1"/>
  <c r="N1556" i="1" s="1"/>
  <c r="I1555" i="1"/>
  <c r="N1555" i="1" s="1"/>
  <c r="I1554" i="1"/>
  <c r="K1554" i="1" s="1"/>
  <c r="I1553" i="1"/>
  <c r="N1553" i="1" s="1"/>
  <c r="N1552" i="1"/>
  <c r="K1552" i="1"/>
  <c r="M1551" i="1"/>
  <c r="K1551" i="1"/>
  <c r="M1550" i="1"/>
  <c r="K1550" i="1"/>
  <c r="M1549" i="1"/>
  <c r="K1549" i="1"/>
  <c r="L1548" i="1"/>
  <c r="K1548" i="1"/>
  <c r="L1547" i="1"/>
  <c r="K1547" i="1"/>
  <c r="N1544" i="1"/>
  <c r="K1544" i="1"/>
  <c r="N1543" i="1"/>
  <c r="K1543" i="1"/>
  <c r="M1542" i="1"/>
  <c r="K1542" i="1"/>
  <c r="L1541" i="1"/>
  <c r="K1541" i="1"/>
  <c r="L1540" i="1"/>
  <c r="K1540" i="1"/>
  <c r="I1538" i="1"/>
  <c r="K1538" i="1" s="1"/>
  <c r="N1537" i="1"/>
  <c r="K1537" i="1"/>
  <c r="N1536" i="1"/>
  <c r="K1536" i="1"/>
  <c r="M1535" i="1"/>
  <c r="K1535" i="1"/>
  <c r="M1534" i="1"/>
  <c r="K1534" i="1"/>
  <c r="L1533" i="1"/>
  <c r="K1533" i="1"/>
  <c r="L1532" i="1"/>
  <c r="K1532" i="1"/>
  <c r="N1530" i="1"/>
  <c r="K1530" i="1"/>
  <c r="N1529" i="1"/>
  <c r="K1529" i="1"/>
  <c r="N1528" i="1"/>
  <c r="K1528" i="1"/>
  <c r="N1527" i="1"/>
  <c r="K1527" i="1"/>
  <c r="N1526" i="1"/>
  <c r="K1526" i="1"/>
  <c r="M1525" i="1"/>
  <c r="K1525" i="1"/>
  <c r="M1524" i="1"/>
  <c r="K1524" i="1"/>
  <c r="M1523" i="1"/>
  <c r="K1523" i="1"/>
  <c r="L1522" i="1"/>
  <c r="K1522" i="1"/>
  <c r="L1521" i="1"/>
  <c r="K1521" i="1"/>
  <c r="N1519" i="1"/>
  <c r="K1519" i="1"/>
  <c r="N1518" i="1"/>
  <c r="K1518" i="1"/>
  <c r="N1517" i="1"/>
  <c r="K1517" i="1"/>
  <c r="M1516" i="1"/>
  <c r="K1516" i="1"/>
  <c r="M1515" i="1"/>
  <c r="K1515" i="1"/>
  <c r="M1514" i="1"/>
  <c r="K1514" i="1"/>
  <c r="L1513" i="1"/>
  <c r="K1513" i="1"/>
  <c r="L1512" i="1"/>
  <c r="K1512" i="1"/>
  <c r="N1510" i="1"/>
  <c r="K1510" i="1"/>
  <c r="N1509" i="1"/>
  <c r="K1509" i="1"/>
  <c r="N1508" i="1"/>
  <c r="K1508" i="1"/>
  <c r="N1507" i="1"/>
  <c r="K1507" i="1"/>
  <c r="M1506" i="1"/>
  <c r="K1506" i="1"/>
  <c r="M1505" i="1"/>
  <c r="K1505" i="1"/>
  <c r="M1504" i="1"/>
  <c r="K1504" i="1"/>
  <c r="L1503" i="1"/>
  <c r="K1503" i="1"/>
  <c r="L1502" i="1"/>
  <c r="K1502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M1493" i="1"/>
  <c r="K1493" i="1"/>
  <c r="M1492" i="1"/>
  <c r="K1492" i="1"/>
  <c r="M1491" i="1"/>
  <c r="K1491" i="1"/>
  <c r="L1490" i="1"/>
  <c r="K1490" i="1"/>
  <c r="L1489" i="1"/>
  <c r="K1489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M1480" i="1"/>
  <c r="K1480" i="1"/>
  <c r="M1479" i="1"/>
  <c r="K1479" i="1"/>
  <c r="M1478" i="1"/>
  <c r="K1478" i="1"/>
  <c r="L1477" i="1"/>
  <c r="K1477" i="1"/>
  <c r="L1476" i="1"/>
  <c r="K1476" i="1"/>
  <c r="I1473" i="1"/>
  <c r="N1473" i="1" s="1"/>
  <c r="I1472" i="1"/>
  <c r="K1472" i="1" s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M1464" i="1"/>
  <c r="K1464" i="1"/>
  <c r="M1463" i="1"/>
  <c r="K1463" i="1"/>
  <c r="M1462" i="1"/>
  <c r="K1462" i="1"/>
  <c r="M1461" i="1"/>
  <c r="K1461" i="1"/>
  <c r="M1460" i="1"/>
  <c r="K1460" i="1"/>
  <c r="M1459" i="1"/>
  <c r="K1459" i="1"/>
  <c r="L1458" i="1"/>
  <c r="K1458" i="1"/>
  <c r="L1457" i="1"/>
  <c r="K1457" i="1"/>
  <c r="I1454" i="1"/>
  <c r="N1454" i="1" s="1"/>
  <c r="I1453" i="1"/>
  <c r="K1453" i="1" s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M1445" i="1"/>
  <c r="K1445" i="1"/>
  <c r="M1444" i="1"/>
  <c r="K1444" i="1"/>
  <c r="M1443" i="1"/>
  <c r="K1443" i="1"/>
  <c r="M1442" i="1"/>
  <c r="K1442" i="1"/>
  <c r="M1441" i="1"/>
  <c r="K1441" i="1"/>
  <c r="M1440" i="1"/>
  <c r="K1440" i="1"/>
  <c r="L1439" i="1"/>
  <c r="K1439" i="1"/>
  <c r="L1438" i="1"/>
  <c r="K1438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M1422" i="1"/>
  <c r="K1422" i="1"/>
  <c r="M1421" i="1"/>
  <c r="K1421" i="1"/>
  <c r="M1420" i="1"/>
  <c r="K1420" i="1"/>
  <c r="M1419" i="1"/>
  <c r="K1419" i="1"/>
  <c r="L1418" i="1"/>
  <c r="K1418" i="1"/>
  <c r="L1417" i="1"/>
  <c r="K1417" i="1"/>
  <c r="I1414" i="1"/>
  <c r="N1414" i="1" s="1"/>
  <c r="N1413" i="1"/>
  <c r="K1413" i="1"/>
  <c r="N1412" i="1"/>
  <c r="K1412" i="1"/>
  <c r="M1411" i="1"/>
  <c r="K1411" i="1"/>
  <c r="M1410" i="1"/>
  <c r="K1410" i="1"/>
  <c r="L1409" i="1"/>
  <c r="K1409" i="1"/>
  <c r="L1408" i="1"/>
  <c r="K1408" i="1"/>
  <c r="N1405" i="1"/>
  <c r="K1405" i="1"/>
  <c r="N1404" i="1"/>
  <c r="K1404" i="1"/>
  <c r="M1403" i="1"/>
  <c r="K1403" i="1"/>
  <c r="M1402" i="1"/>
  <c r="K1402" i="1"/>
  <c r="L1401" i="1"/>
  <c r="K1401" i="1"/>
  <c r="L1400" i="1"/>
  <c r="K1400" i="1"/>
  <c r="I1398" i="1"/>
  <c r="K1398" i="1" s="1"/>
  <c r="I1397" i="1"/>
  <c r="N1397" i="1" s="1"/>
  <c r="I1396" i="1"/>
  <c r="N1396" i="1" s="1"/>
  <c r="N1395" i="1"/>
  <c r="K1395" i="1"/>
  <c r="N1394" i="1"/>
  <c r="K1394" i="1"/>
  <c r="M1393" i="1"/>
  <c r="K1393" i="1"/>
  <c r="M1392" i="1"/>
  <c r="K1392" i="1"/>
  <c r="M1391" i="1"/>
  <c r="K1391" i="1"/>
  <c r="L1390" i="1"/>
  <c r="K1390" i="1"/>
  <c r="L1389" i="1"/>
  <c r="K1389" i="1"/>
  <c r="N1387" i="1"/>
  <c r="K1387" i="1"/>
  <c r="N1386" i="1"/>
  <c r="K1386" i="1"/>
  <c r="M1385" i="1"/>
  <c r="K1385" i="1"/>
  <c r="M1384" i="1"/>
  <c r="K1384" i="1"/>
  <c r="M1383" i="1"/>
  <c r="K1383" i="1"/>
  <c r="L1382" i="1"/>
  <c r="K1382" i="1"/>
  <c r="L1381" i="1"/>
  <c r="K1381" i="1"/>
  <c r="I1378" i="1"/>
  <c r="N1378" i="1" s="1"/>
  <c r="I1377" i="1"/>
  <c r="N1377" i="1" s="1"/>
  <c r="M1376" i="1"/>
  <c r="K1376" i="1"/>
  <c r="L1375" i="1"/>
  <c r="K1375" i="1"/>
  <c r="L1374" i="1"/>
  <c r="K1374" i="1"/>
  <c r="I1370" i="1"/>
  <c r="N1370" i="1" s="1"/>
  <c r="I1369" i="1"/>
  <c r="K1369" i="1" s="1"/>
  <c r="I1368" i="1"/>
  <c r="N1368" i="1" s="1"/>
  <c r="I1367" i="1"/>
  <c r="K1367" i="1" s="1"/>
  <c r="I1366" i="1"/>
  <c r="N1366" i="1" s="1"/>
  <c r="I1365" i="1"/>
  <c r="N1365" i="1" s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M1356" i="1"/>
  <c r="K1356" i="1"/>
  <c r="M1355" i="1"/>
  <c r="K1355" i="1"/>
  <c r="M1354" i="1"/>
  <c r="K1354" i="1"/>
  <c r="M1353" i="1"/>
  <c r="K1353" i="1"/>
  <c r="M1352" i="1"/>
  <c r="K1352" i="1"/>
  <c r="M1351" i="1"/>
  <c r="K1351" i="1"/>
  <c r="M1350" i="1"/>
  <c r="K1350" i="1"/>
  <c r="L1349" i="1"/>
  <c r="K1349" i="1"/>
  <c r="L1348" i="1"/>
  <c r="K1348" i="1"/>
  <c r="N1345" i="1"/>
  <c r="K1345" i="1"/>
  <c r="M1344" i="1"/>
  <c r="K1344" i="1"/>
  <c r="M1343" i="1"/>
  <c r="K1343" i="1"/>
  <c r="L1342" i="1"/>
  <c r="K1342" i="1"/>
  <c r="L1341" i="1"/>
  <c r="K1341" i="1"/>
  <c r="I1339" i="1"/>
  <c r="N1339" i="1" s="1"/>
  <c r="I1338" i="1"/>
  <c r="K1338" i="1" s="1"/>
  <c r="I1337" i="1"/>
  <c r="N1337" i="1" s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M1328" i="1"/>
  <c r="K1328" i="1"/>
  <c r="M1327" i="1"/>
  <c r="K1327" i="1"/>
  <c r="M1326" i="1"/>
  <c r="K1326" i="1"/>
  <c r="M1325" i="1"/>
  <c r="K1325" i="1"/>
  <c r="M1324" i="1"/>
  <c r="K1324" i="1"/>
  <c r="M1323" i="1"/>
  <c r="K1323" i="1"/>
  <c r="L1322" i="1"/>
  <c r="K1322" i="1"/>
  <c r="L1321" i="1"/>
  <c r="K1321" i="1"/>
  <c r="I1318" i="1"/>
  <c r="N1318" i="1" s="1"/>
  <c r="I1317" i="1"/>
  <c r="N1317" i="1" s="1"/>
  <c r="I1316" i="1"/>
  <c r="K1316" i="1" s="1"/>
  <c r="I1315" i="1"/>
  <c r="N1315" i="1" s="1"/>
  <c r="I1314" i="1"/>
  <c r="N1314" i="1" s="1"/>
  <c r="I1313" i="1"/>
  <c r="N1313" i="1" s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M1305" i="1"/>
  <c r="K1305" i="1"/>
  <c r="M1304" i="1"/>
  <c r="K1304" i="1"/>
  <c r="M1303" i="1"/>
  <c r="K1303" i="1"/>
  <c r="M1302" i="1"/>
  <c r="K1302" i="1"/>
  <c r="M1301" i="1"/>
  <c r="K1301" i="1"/>
  <c r="M1300" i="1"/>
  <c r="K1300" i="1"/>
  <c r="M1299" i="1"/>
  <c r="K1299" i="1"/>
  <c r="L1298" i="1"/>
  <c r="K1298" i="1"/>
  <c r="L1297" i="1"/>
  <c r="K1297" i="1"/>
  <c r="I1294" i="1"/>
  <c r="N1294" i="1" s="1"/>
  <c r="I1293" i="1"/>
  <c r="N1293" i="1" s="1"/>
  <c r="I1292" i="1"/>
  <c r="N1292" i="1" s="1"/>
  <c r="I1291" i="1"/>
  <c r="N1291" i="1" s="1"/>
  <c r="I1290" i="1"/>
  <c r="N1290" i="1" s="1"/>
  <c r="I1289" i="1"/>
  <c r="N1289" i="1" s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M1281" i="1"/>
  <c r="K1281" i="1"/>
  <c r="M1280" i="1"/>
  <c r="K1280" i="1"/>
  <c r="M1279" i="1"/>
  <c r="K1279" i="1"/>
  <c r="M1278" i="1"/>
  <c r="K1278" i="1"/>
  <c r="M1277" i="1"/>
  <c r="K1277" i="1"/>
  <c r="M1276" i="1"/>
  <c r="K1276" i="1"/>
  <c r="M1275" i="1"/>
  <c r="K1275" i="1"/>
  <c r="L1274" i="1"/>
  <c r="K1274" i="1"/>
  <c r="L1273" i="1"/>
  <c r="K1273" i="1"/>
  <c r="I1270" i="1"/>
  <c r="N1270" i="1" s="1"/>
  <c r="I1269" i="1"/>
  <c r="N1269" i="1" s="1"/>
  <c r="I1268" i="1"/>
  <c r="K1268" i="1" s="1"/>
  <c r="I1267" i="1"/>
  <c r="N1267" i="1" s="1"/>
  <c r="I1266" i="1"/>
  <c r="K1266" i="1" s="1"/>
  <c r="I1265" i="1"/>
  <c r="K1265" i="1" s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M1257" i="1"/>
  <c r="K1257" i="1"/>
  <c r="M1256" i="1"/>
  <c r="K1256" i="1"/>
  <c r="M1255" i="1"/>
  <c r="K1255" i="1"/>
  <c r="M1254" i="1"/>
  <c r="K1254" i="1"/>
  <c r="M1253" i="1"/>
  <c r="K1253" i="1"/>
  <c r="M1252" i="1"/>
  <c r="K1252" i="1"/>
  <c r="M1251" i="1"/>
  <c r="K1251" i="1"/>
  <c r="L1250" i="1"/>
  <c r="K1250" i="1"/>
  <c r="L1249" i="1"/>
  <c r="K1249" i="1"/>
  <c r="I1246" i="1"/>
  <c r="K1246" i="1" s="1"/>
  <c r="I1245" i="1"/>
  <c r="N1245" i="1" s="1"/>
  <c r="I1244" i="1"/>
  <c r="K1244" i="1" s="1"/>
  <c r="I1243" i="1"/>
  <c r="N1243" i="1" s="1"/>
  <c r="I1242" i="1"/>
  <c r="K1242" i="1" s="1"/>
  <c r="I1241" i="1"/>
  <c r="N1241" i="1" s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M1233" i="1"/>
  <c r="K1233" i="1"/>
  <c r="M1232" i="1"/>
  <c r="K1232" i="1"/>
  <c r="M1231" i="1"/>
  <c r="K1231" i="1"/>
  <c r="M1230" i="1"/>
  <c r="K1230" i="1"/>
  <c r="M1229" i="1"/>
  <c r="K1229" i="1"/>
  <c r="M1228" i="1"/>
  <c r="K1228" i="1"/>
  <c r="M1227" i="1"/>
  <c r="K1227" i="1"/>
  <c r="L1226" i="1"/>
  <c r="K1226" i="1"/>
  <c r="L1225" i="1"/>
  <c r="K1225" i="1"/>
  <c r="I1222" i="1"/>
  <c r="N1222" i="1" s="1"/>
  <c r="I1221" i="1"/>
  <c r="N1221" i="1" s="1"/>
  <c r="I1220" i="1"/>
  <c r="K1220" i="1" s="1"/>
  <c r="I1219" i="1"/>
  <c r="N1219" i="1" s="1"/>
  <c r="I1218" i="1"/>
  <c r="N1218" i="1" s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M1210" i="1"/>
  <c r="K1210" i="1"/>
  <c r="M1209" i="1"/>
  <c r="K1209" i="1"/>
  <c r="M1208" i="1"/>
  <c r="K1208" i="1"/>
  <c r="M1207" i="1"/>
  <c r="K1207" i="1"/>
  <c r="M1206" i="1"/>
  <c r="K1206" i="1"/>
  <c r="M1205" i="1"/>
  <c r="K1205" i="1"/>
  <c r="M1204" i="1"/>
  <c r="K1204" i="1"/>
  <c r="L1203" i="1"/>
  <c r="K1203" i="1"/>
  <c r="L1202" i="1"/>
  <c r="K1202" i="1"/>
  <c r="I1199" i="1"/>
  <c r="N1199" i="1" s="1"/>
  <c r="I1198" i="1"/>
  <c r="N1198" i="1" s="1"/>
  <c r="I1197" i="1"/>
  <c r="N1197" i="1" s="1"/>
  <c r="I1196" i="1"/>
  <c r="N1196" i="1" s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M1188" i="1"/>
  <c r="K1188" i="1"/>
  <c r="M1187" i="1"/>
  <c r="K1187" i="1"/>
  <c r="M1186" i="1"/>
  <c r="K1186" i="1"/>
  <c r="M1185" i="1"/>
  <c r="K1185" i="1"/>
  <c r="M1184" i="1"/>
  <c r="K1184" i="1"/>
  <c r="M1183" i="1"/>
  <c r="K1183" i="1"/>
  <c r="M1182" i="1"/>
  <c r="K1182" i="1"/>
  <c r="L1181" i="1"/>
  <c r="K1181" i="1"/>
  <c r="L1180" i="1"/>
  <c r="K1180" i="1"/>
  <c r="I1177" i="1"/>
  <c r="K1177" i="1" s="1"/>
  <c r="I1176" i="1"/>
  <c r="K1176" i="1" s="1"/>
  <c r="I1175" i="1"/>
  <c r="N1175" i="1" s="1"/>
  <c r="I1174" i="1"/>
  <c r="N1174" i="1" s="1"/>
  <c r="N1173" i="1"/>
  <c r="K1173" i="1"/>
  <c r="N1172" i="1"/>
  <c r="K1172" i="1"/>
  <c r="N1171" i="1"/>
  <c r="K1171" i="1"/>
  <c r="N1170" i="1"/>
  <c r="K1170" i="1"/>
  <c r="N1169" i="1"/>
  <c r="K1169" i="1"/>
  <c r="N1168" i="1"/>
  <c r="K1168" i="1"/>
  <c r="N1167" i="1"/>
  <c r="K1167" i="1"/>
  <c r="M1166" i="1"/>
  <c r="K1166" i="1"/>
  <c r="M1165" i="1"/>
  <c r="K1165" i="1"/>
  <c r="M1164" i="1"/>
  <c r="K1164" i="1"/>
  <c r="M1163" i="1"/>
  <c r="K1163" i="1"/>
  <c r="M1162" i="1"/>
  <c r="K1162" i="1"/>
  <c r="M1161" i="1"/>
  <c r="K1161" i="1"/>
  <c r="M1160" i="1"/>
  <c r="K1160" i="1"/>
  <c r="L1159" i="1"/>
  <c r="K1159" i="1"/>
  <c r="L1158" i="1"/>
  <c r="K1158" i="1"/>
  <c r="I1155" i="1"/>
  <c r="N1155" i="1" s="1"/>
  <c r="I1153" i="1"/>
  <c r="K1153" i="1" s="1"/>
  <c r="I1152" i="1"/>
  <c r="N1152" i="1" s="1"/>
  <c r="I1151" i="1"/>
  <c r="N1151" i="1" s="1"/>
  <c r="I1150" i="1"/>
  <c r="N1150" i="1" s="1"/>
  <c r="I1149" i="1"/>
  <c r="K1149" i="1" s="1"/>
  <c r="N1148" i="1"/>
  <c r="K1148" i="1"/>
  <c r="N1147" i="1"/>
  <c r="K1147" i="1"/>
  <c r="N1146" i="1"/>
  <c r="K1146" i="1"/>
  <c r="N1145" i="1"/>
  <c r="K1145" i="1"/>
  <c r="N1144" i="1"/>
  <c r="K1144" i="1"/>
  <c r="N1143" i="1"/>
  <c r="K1143" i="1"/>
  <c r="M1142" i="1"/>
  <c r="K1142" i="1"/>
  <c r="M1141" i="1"/>
  <c r="K1141" i="1"/>
  <c r="M1140" i="1"/>
  <c r="K1140" i="1"/>
  <c r="M1139" i="1"/>
  <c r="K1139" i="1"/>
  <c r="L1138" i="1"/>
  <c r="K1138" i="1"/>
  <c r="L1137" i="1"/>
  <c r="K1137" i="1"/>
  <c r="I1134" i="1"/>
  <c r="N1134" i="1" s="1"/>
  <c r="M1133" i="1"/>
  <c r="K1133" i="1"/>
  <c r="L1132" i="1"/>
  <c r="K1132" i="1"/>
  <c r="L1131" i="1"/>
  <c r="K1131" i="1"/>
  <c r="N1129" i="1"/>
  <c r="K1129" i="1"/>
  <c r="N1128" i="1"/>
  <c r="K1128" i="1"/>
  <c r="M1127" i="1"/>
  <c r="K1127" i="1"/>
  <c r="M1126" i="1"/>
  <c r="K1126" i="1"/>
  <c r="L1125" i="1"/>
  <c r="K1125" i="1"/>
  <c r="L1124" i="1"/>
  <c r="K1124" i="1"/>
  <c r="N1121" i="1"/>
  <c r="K1121" i="1"/>
  <c r="M1120" i="1"/>
  <c r="K1120" i="1"/>
  <c r="L1119" i="1"/>
  <c r="K1119" i="1"/>
  <c r="N1117" i="1"/>
  <c r="K1117" i="1"/>
  <c r="M1116" i="1"/>
  <c r="K1116" i="1"/>
  <c r="L1115" i="1"/>
  <c r="K1115" i="1"/>
  <c r="N1113" i="1"/>
  <c r="K1113" i="1"/>
  <c r="N1112" i="1"/>
  <c r="K1112" i="1"/>
  <c r="N1111" i="1"/>
  <c r="K1111" i="1"/>
  <c r="M1110" i="1"/>
  <c r="K1110" i="1"/>
  <c r="M1109" i="1"/>
  <c r="K1109" i="1"/>
  <c r="L1108" i="1"/>
  <c r="K1108" i="1"/>
  <c r="L1107" i="1"/>
  <c r="K1107" i="1"/>
  <c r="N1105" i="1"/>
  <c r="K1105" i="1"/>
  <c r="N1104" i="1"/>
  <c r="K1104" i="1"/>
  <c r="N1103" i="1"/>
  <c r="K1103" i="1"/>
  <c r="M1102" i="1"/>
  <c r="K1102" i="1"/>
  <c r="M1101" i="1"/>
  <c r="K1101" i="1"/>
  <c r="M1100" i="1"/>
  <c r="K1100" i="1"/>
  <c r="L1099" i="1"/>
  <c r="K1099" i="1"/>
  <c r="L1098" i="1"/>
  <c r="K1098" i="1"/>
  <c r="N1096" i="1"/>
  <c r="K1096" i="1"/>
  <c r="M1095" i="1"/>
  <c r="K1095" i="1"/>
  <c r="M1094" i="1"/>
  <c r="K1094" i="1"/>
  <c r="M1093" i="1"/>
  <c r="K1093" i="1"/>
  <c r="L1092" i="1"/>
  <c r="K1092" i="1"/>
  <c r="L1091" i="1"/>
  <c r="K1091" i="1"/>
  <c r="I1089" i="1"/>
  <c r="K1089" i="1" s="1"/>
  <c r="N1088" i="1"/>
  <c r="K1088" i="1"/>
  <c r="M1087" i="1"/>
  <c r="K1087" i="1"/>
  <c r="M1086" i="1"/>
  <c r="K1086" i="1"/>
  <c r="M1085" i="1"/>
  <c r="K1085" i="1"/>
  <c r="M1084" i="1"/>
  <c r="K1084" i="1"/>
  <c r="M1083" i="1"/>
  <c r="K1083" i="1"/>
  <c r="M1082" i="1"/>
  <c r="K1082" i="1"/>
  <c r="M1081" i="1"/>
  <c r="K1081" i="1"/>
  <c r="L1080" i="1"/>
  <c r="K1080" i="1"/>
  <c r="L1079" i="1"/>
  <c r="K1079" i="1"/>
  <c r="M1076" i="1"/>
  <c r="K1076" i="1"/>
  <c r="L1075" i="1"/>
  <c r="K1075" i="1"/>
  <c r="M1073" i="1"/>
  <c r="K1073" i="1"/>
  <c r="L1072" i="1"/>
  <c r="K1072" i="1"/>
  <c r="M1070" i="1"/>
  <c r="K1070" i="1"/>
  <c r="L1069" i="1"/>
  <c r="K1069" i="1"/>
  <c r="L1067" i="1"/>
  <c r="K1067" i="1"/>
  <c r="M1065" i="1"/>
  <c r="K1065" i="1"/>
  <c r="L1064" i="1"/>
  <c r="K1064" i="1"/>
  <c r="K1827" i="1" l="1"/>
  <c r="N1655" i="1"/>
  <c r="N1700" i="1"/>
  <c r="N1554" i="1"/>
  <c r="N1683" i="1"/>
  <c r="N1149" i="1"/>
  <c r="N1398" i="1"/>
  <c r="N1246" i="1"/>
  <c r="K1196" i="1"/>
  <c r="K1365" i="1"/>
  <c r="K1377" i="1"/>
  <c r="N1453" i="1"/>
  <c r="N1622" i="1"/>
  <c r="K1151" i="1"/>
  <c r="N1316" i="1"/>
  <c r="K1396" i="1"/>
  <c r="K1556" i="1"/>
  <c r="K1197" i="1"/>
  <c r="N1266" i="1"/>
  <c r="K1290" i="1"/>
  <c r="K1366" i="1"/>
  <c r="K1152" i="1"/>
  <c r="K1222" i="1"/>
  <c r="K1267" i="1"/>
  <c r="K1318" i="1"/>
  <c r="N1716" i="1"/>
  <c r="K1241" i="1"/>
  <c r="K1292" i="1"/>
  <c r="K1337" i="1"/>
  <c r="K1155" i="1"/>
  <c r="K1414" i="1"/>
  <c r="N1220" i="1"/>
  <c r="N1795" i="1"/>
  <c r="K1293" i="1"/>
  <c r="K1378" i="1"/>
  <c r="K1623" i="1"/>
  <c r="L1821" i="1"/>
  <c r="N1176" i="1"/>
  <c r="K1174" i="1"/>
  <c r="N1089" i="1"/>
  <c r="K1150" i="1"/>
  <c r="N1244" i="1"/>
  <c r="K1317" i="1"/>
  <c r="N1369" i="1"/>
  <c r="K1397" i="1"/>
  <c r="K1555" i="1"/>
  <c r="K1682" i="1"/>
  <c r="K1198" i="1"/>
  <c r="N1265" i="1"/>
  <c r="K1294" i="1"/>
  <c r="K1134" i="1"/>
  <c r="N1153" i="1"/>
  <c r="K1175" i="1"/>
  <c r="K1219" i="1"/>
  <c r="N1242" i="1"/>
  <c r="K1245" i="1"/>
  <c r="N1268" i="1"/>
  <c r="K1289" i="1"/>
  <c r="K1315" i="1"/>
  <c r="N1338" i="1"/>
  <c r="N1367" i="1"/>
  <c r="K1370" i="1"/>
  <c r="N1472" i="1"/>
  <c r="N1538" i="1"/>
  <c r="K1553" i="1"/>
  <c r="K1605" i="1"/>
  <c r="K1641" i="1"/>
  <c r="K1715" i="1"/>
  <c r="K1757" i="1"/>
  <c r="M1821" i="1"/>
  <c r="K1270" i="1"/>
  <c r="K1665" i="1"/>
  <c r="K1221" i="1"/>
  <c r="K1291" i="1"/>
  <c r="K1454" i="1"/>
  <c r="K1820" i="1"/>
  <c r="N1177" i="1"/>
  <c r="K1218" i="1"/>
  <c r="K1314" i="1"/>
  <c r="K1640" i="1"/>
  <c r="K1701" i="1"/>
  <c r="K1656" i="1"/>
  <c r="K1199" i="1"/>
  <c r="K1243" i="1"/>
  <c r="K1269" i="1"/>
  <c r="K1313" i="1"/>
  <c r="K1339" i="1"/>
  <c r="K1368" i="1"/>
  <c r="K1473" i="1"/>
  <c r="L1823" i="1" l="1"/>
  <c r="N1821" i="1"/>
  <c r="M1823" i="1"/>
  <c r="N1823" i="1" l="1"/>
  <c r="K1830" i="1" l="1"/>
  <c r="K1831" i="1" l="1"/>
  <c r="K1832" i="1" s="1"/>
  <c r="K1057" i="1" l="1"/>
  <c r="I1048" i="1"/>
  <c r="N1048" i="1" s="1"/>
  <c r="I1047" i="1"/>
  <c r="N1047" i="1" s="1"/>
  <c r="I1046" i="1"/>
  <c r="N1046" i="1" s="1"/>
  <c r="N1045" i="1"/>
  <c r="K1045" i="1"/>
  <c r="N1044" i="1"/>
  <c r="K1044" i="1"/>
  <c r="M1043" i="1"/>
  <c r="K1043" i="1"/>
  <c r="L1042" i="1"/>
  <c r="K1042" i="1"/>
  <c r="N1040" i="1"/>
  <c r="K1040" i="1"/>
  <c r="N1039" i="1"/>
  <c r="K1039" i="1"/>
  <c r="N1038" i="1"/>
  <c r="K1038" i="1"/>
  <c r="N1037" i="1"/>
  <c r="K1037" i="1"/>
  <c r="M1036" i="1"/>
  <c r="K1036" i="1"/>
  <c r="M1035" i="1"/>
  <c r="K1035" i="1"/>
  <c r="L1034" i="1"/>
  <c r="K1034" i="1"/>
  <c r="N1032" i="1"/>
  <c r="K1032" i="1"/>
  <c r="M1031" i="1"/>
  <c r="K1031" i="1"/>
  <c r="L1030" i="1"/>
  <c r="K1030" i="1"/>
  <c r="N1028" i="1"/>
  <c r="K1028" i="1"/>
  <c r="N1027" i="1"/>
  <c r="K1027" i="1"/>
  <c r="N1026" i="1"/>
  <c r="K1026" i="1"/>
  <c r="M1025" i="1"/>
  <c r="K1025" i="1"/>
  <c r="M1024" i="1"/>
  <c r="K1024" i="1"/>
  <c r="L1023" i="1"/>
  <c r="K1023" i="1"/>
  <c r="N1021" i="1"/>
  <c r="K1021" i="1"/>
  <c r="N1020" i="1"/>
  <c r="K1020" i="1"/>
  <c r="N1019" i="1"/>
  <c r="K1019" i="1"/>
  <c r="M1018" i="1"/>
  <c r="K1018" i="1"/>
  <c r="M1017" i="1"/>
  <c r="K1017" i="1"/>
  <c r="L1016" i="1"/>
  <c r="K1016" i="1"/>
  <c r="I1013" i="1"/>
  <c r="I1012" i="1"/>
  <c r="K1012" i="1" s="1"/>
  <c r="M1011" i="1"/>
  <c r="K1011" i="1"/>
  <c r="M1010" i="1"/>
  <c r="K1010" i="1"/>
  <c r="L1009" i="1"/>
  <c r="K1009" i="1"/>
  <c r="I1007" i="1"/>
  <c r="N1007" i="1" s="1"/>
  <c r="N1006" i="1"/>
  <c r="K1006" i="1"/>
  <c r="M1005" i="1"/>
  <c r="K1005" i="1"/>
  <c r="L1004" i="1"/>
  <c r="K1004" i="1"/>
  <c r="I1001" i="1"/>
  <c r="K1001" i="1" s="1"/>
  <c r="I1000" i="1"/>
  <c r="N1000" i="1" s="1"/>
  <c r="I999" i="1"/>
  <c r="K999" i="1" s="1"/>
  <c r="I998" i="1"/>
  <c r="N998" i="1" s="1"/>
  <c r="I997" i="1"/>
  <c r="I996" i="1"/>
  <c r="K996" i="1" s="1"/>
  <c r="I995" i="1"/>
  <c r="K995" i="1" s="1"/>
  <c r="I994" i="1"/>
  <c r="N994" i="1" s="1"/>
  <c r="I993" i="1"/>
  <c r="K993" i="1" s="1"/>
  <c r="I992" i="1"/>
  <c r="K992" i="1" s="1"/>
  <c r="I991" i="1"/>
  <c r="N991" i="1" s="1"/>
  <c r="I990" i="1"/>
  <c r="N990" i="1" s="1"/>
  <c r="I989" i="1"/>
  <c r="N988" i="1"/>
  <c r="K988" i="1"/>
  <c r="M987" i="1"/>
  <c r="K987" i="1"/>
  <c r="L986" i="1"/>
  <c r="K986" i="1"/>
  <c r="N984" i="1"/>
  <c r="K984" i="1"/>
  <c r="M983" i="1"/>
  <c r="K983" i="1"/>
  <c r="L982" i="1"/>
  <c r="K982" i="1"/>
  <c r="I979" i="1"/>
  <c r="N978" i="1"/>
  <c r="K978" i="1"/>
  <c r="M977" i="1"/>
  <c r="K977" i="1"/>
  <c r="M976" i="1"/>
  <c r="K976" i="1"/>
  <c r="L975" i="1"/>
  <c r="K975" i="1"/>
  <c r="I973" i="1"/>
  <c r="K973" i="1" s="1"/>
  <c r="M972" i="1"/>
  <c r="K972" i="1"/>
  <c r="L971" i="1"/>
  <c r="K971" i="1"/>
  <c r="I969" i="1"/>
  <c r="I968" i="1"/>
  <c r="N968" i="1" s="1"/>
  <c r="I967" i="1"/>
  <c r="K967" i="1" s="1"/>
  <c r="I966" i="1"/>
  <c r="N966" i="1" s="1"/>
  <c r="I965" i="1"/>
  <c r="K965" i="1" s="1"/>
  <c r="I964" i="1"/>
  <c r="N964" i="1" s="1"/>
  <c r="I963" i="1"/>
  <c r="K963" i="1" s="1"/>
  <c r="I962" i="1"/>
  <c r="N962" i="1" s="1"/>
  <c r="I961" i="1"/>
  <c r="I960" i="1"/>
  <c r="K960" i="1" s="1"/>
  <c r="I959" i="1"/>
  <c r="K959" i="1" s="1"/>
  <c r="I958" i="1"/>
  <c r="N958" i="1" s="1"/>
  <c r="I957" i="1"/>
  <c r="K957" i="1" s="1"/>
  <c r="I956" i="1"/>
  <c r="K956" i="1" s="1"/>
  <c r="I955" i="1"/>
  <c r="N955" i="1" s="1"/>
  <c r="I954" i="1"/>
  <c r="N954" i="1" s="1"/>
  <c r="I953" i="1"/>
  <c r="I952" i="1"/>
  <c r="N952" i="1" s="1"/>
  <c r="I951" i="1"/>
  <c r="N951" i="1" s="1"/>
  <c r="I950" i="1"/>
  <c r="N950" i="1" s="1"/>
  <c r="I949" i="1"/>
  <c r="K949" i="1" s="1"/>
  <c r="I948" i="1"/>
  <c r="N948" i="1" s="1"/>
  <c r="I947" i="1"/>
  <c r="N947" i="1" s="1"/>
  <c r="N946" i="1"/>
  <c r="K946" i="1"/>
  <c r="M945" i="1"/>
  <c r="K945" i="1"/>
  <c r="M944" i="1"/>
  <c r="K944" i="1"/>
  <c r="M943" i="1"/>
  <c r="K943" i="1"/>
  <c r="L942" i="1"/>
  <c r="K942" i="1"/>
  <c r="N940" i="1"/>
  <c r="K940" i="1"/>
  <c r="M939" i="1"/>
  <c r="K939" i="1"/>
  <c r="M938" i="1"/>
  <c r="K938" i="1"/>
  <c r="M937" i="1"/>
  <c r="K937" i="1"/>
  <c r="L936" i="1"/>
  <c r="K936" i="1"/>
  <c r="N934" i="1"/>
  <c r="K934" i="1"/>
  <c r="M933" i="1"/>
  <c r="K933" i="1"/>
  <c r="M932" i="1"/>
  <c r="K932" i="1"/>
  <c r="M931" i="1"/>
  <c r="K931" i="1"/>
  <c r="L930" i="1"/>
  <c r="K930" i="1"/>
  <c r="I928" i="1"/>
  <c r="K928" i="1" s="1"/>
  <c r="I927" i="1"/>
  <c r="K927" i="1" s="1"/>
  <c r="N926" i="1"/>
  <c r="K926" i="1"/>
  <c r="M925" i="1"/>
  <c r="K925" i="1"/>
  <c r="M924" i="1"/>
  <c r="K924" i="1"/>
  <c r="L923" i="1"/>
  <c r="K923" i="1"/>
  <c r="I921" i="1"/>
  <c r="K921" i="1" s="1"/>
  <c r="N920" i="1"/>
  <c r="K920" i="1"/>
  <c r="M919" i="1"/>
  <c r="K919" i="1"/>
  <c r="M918" i="1"/>
  <c r="K918" i="1"/>
  <c r="L917" i="1"/>
  <c r="K917" i="1"/>
  <c r="I914" i="1"/>
  <c r="K914" i="1" s="1"/>
  <c r="I913" i="1"/>
  <c r="N912" i="1"/>
  <c r="K912" i="1"/>
  <c r="M911" i="1"/>
  <c r="K911" i="1"/>
  <c r="M910" i="1"/>
  <c r="K910" i="1"/>
  <c r="L909" i="1"/>
  <c r="K909" i="1"/>
  <c r="I907" i="1"/>
  <c r="K907" i="1" s="1"/>
  <c r="M906" i="1"/>
  <c r="K906" i="1"/>
  <c r="L905" i="1"/>
  <c r="K905" i="1"/>
  <c r="I903" i="1"/>
  <c r="K903" i="1" s="1"/>
  <c r="I902" i="1"/>
  <c r="K902" i="1" s="1"/>
  <c r="I901" i="1"/>
  <c r="N901" i="1" s="1"/>
  <c r="I900" i="1"/>
  <c r="N900" i="1" s="1"/>
  <c r="I899" i="1"/>
  <c r="I898" i="1"/>
  <c r="N898" i="1" s="1"/>
  <c r="I897" i="1"/>
  <c r="K897" i="1" s="1"/>
  <c r="I896" i="1"/>
  <c r="N896" i="1" s="1"/>
  <c r="I895" i="1"/>
  <c r="K895" i="1" s="1"/>
  <c r="I894" i="1"/>
  <c r="K894" i="1" s="1"/>
  <c r="I893" i="1"/>
  <c r="N893" i="1" s="1"/>
  <c r="I892" i="1"/>
  <c r="N892" i="1" s="1"/>
  <c r="I891" i="1"/>
  <c r="I890" i="1"/>
  <c r="K890" i="1" s="1"/>
  <c r="I889" i="1"/>
  <c r="N889" i="1" s="1"/>
  <c r="I888" i="1"/>
  <c r="N888" i="1" s="1"/>
  <c r="I887" i="1"/>
  <c r="N887" i="1" s="1"/>
  <c r="I886" i="1"/>
  <c r="N886" i="1" s="1"/>
  <c r="I885" i="1"/>
  <c r="N885" i="1" s="1"/>
  <c r="I884" i="1"/>
  <c r="N884" i="1" s="1"/>
  <c r="I883" i="1"/>
  <c r="I882" i="1"/>
  <c r="N882" i="1" s="1"/>
  <c r="I881" i="1"/>
  <c r="K881" i="1" s="1"/>
  <c r="I880" i="1"/>
  <c r="N880" i="1" s="1"/>
  <c r="I879" i="1"/>
  <c r="K879" i="1" s="1"/>
  <c r="I878" i="1"/>
  <c r="K878" i="1" s="1"/>
  <c r="I877" i="1"/>
  <c r="N877" i="1" s="1"/>
  <c r="I876" i="1"/>
  <c r="N876" i="1" s="1"/>
  <c r="I875" i="1"/>
  <c r="I874" i="1"/>
  <c r="K874" i="1" s="1"/>
  <c r="I873" i="1"/>
  <c r="N873" i="1" s="1"/>
  <c r="I872" i="1"/>
  <c r="N872" i="1" s="1"/>
  <c r="I871" i="1"/>
  <c r="N871" i="1" s="1"/>
  <c r="I870" i="1"/>
  <c r="N870" i="1" s="1"/>
  <c r="I869" i="1"/>
  <c r="N869" i="1" s="1"/>
  <c r="I868" i="1"/>
  <c r="N868" i="1" s="1"/>
  <c r="I867" i="1"/>
  <c r="I866" i="1"/>
  <c r="N866" i="1" s="1"/>
  <c r="I865" i="1"/>
  <c r="K865" i="1" s="1"/>
  <c r="M864" i="1"/>
  <c r="K864" i="1"/>
  <c r="L863" i="1"/>
  <c r="K863" i="1"/>
  <c r="I861" i="1"/>
  <c r="N861" i="1" s="1"/>
  <c r="I860" i="1"/>
  <c r="K860" i="1" s="1"/>
  <c r="I859" i="1"/>
  <c r="N859" i="1" s="1"/>
  <c r="I858" i="1"/>
  <c r="N858" i="1" s="1"/>
  <c r="I857" i="1"/>
  <c r="I856" i="1"/>
  <c r="N856" i="1" s="1"/>
  <c r="N855" i="1"/>
  <c r="K855" i="1"/>
  <c r="N854" i="1"/>
  <c r="K854" i="1"/>
  <c r="M853" i="1"/>
  <c r="K853" i="1"/>
  <c r="M852" i="1"/>
  <c r="K852" i="1"/>
  <c r="L851" i="1"/>
  <c r="K851" i="1"/>
  <c r="I849" i="1"/>
  <c r="K849" i="1" s="1"/>
  <c r="M848" i="1"/>
  <c r="K848" i="1"/>
  <c r="M847" i="1"/>
  <c r="K847" i="1"/>
  <c r="L846" i="1"/>
  <c r="K846" i="1"/>
  <c r="N844" i="1"/>
  <c r="K844" i="1"/>
  <c r="M843" i="1"/>
  <c r="K843" i="1"/>
  <c r="M842" i="1"/>
  <c r="K842" i="1"/>
  <c r="M841" i="1"/>
  <c r="K841" i="1"/>
  <c r="L840" i="1"/>
  <c r="K840" i="1"/>
  <c r="N838" i="1"/>
  <c r="K838" i="1"/>
  <c r="M837" i="1"/>
  <c r="K837" i="1"/>
  <c r="M836" i="1"/>
  <c r="K836" i="1"/>
  <c r="M835" i="1"/>
  <c r="K835" i="1"/>
  <c r="L834" i="1"/>
  <c r="K834" i="1"/>
  <c r="N832" i="1"/>
  <c r="K832" i="1"/>
  <c r="M831" i="1"/>
  <c r="K831" i="1"/>
  <c r="M830" i="1"/>
  <c r="K830" i="1"/>
  <c r="M829" i="1"/>
  <c r="K829" i="1"/>
  <c r="L828" i="1"/>
  <c r="K828" i="1"/>
  <c r="N826" i="1"/>
  <c r="K826" i="1"/>
  <c r="M825" i="1"/>
  <c r="K825" i="1"/>
  <c r="M824" i="1"/>
  <c r="K824" i="1"/>
  <c r="M823" i="1"/>
  <c r="K823" i="1"/>
  <c r="L822" i="1"/>
  <c r="K822" i="1"/>
  <c r="N820" i="1"/>
  <c r="K820" i="1"/>
  <c r="M819" i="1"/>
  <c r="K819" i="1"/>
  <c r="M818" i="1"/>
  <c r="K818" i="1"/>
  <c r="M817" i="1"/>
  <c r="K817" i="1"/>
  <c r="L816" i="1"/>
  <c r="K816" i="1"/>
  <c r="N814" i="1"/>
  <c r="K814" i="1"/>
  <c r="M813" i="1"/>
  <c r="K813" i="1"/>
  <c r="M812" i="1"/>
  <c r="K812" i="1"/>
  <c r="M811" i="1"/>
  <c r="K811" i="1"/>
  <c r="L810" i="1"/>
  <c r="K810" i="1"/>
  <c r="I808" i="1"/>
  <c r="N808" i="1" s="1"/>
  <c r="N807" i="1"/>
  <c r="K807" i="1"/>
  <c r="N806" i="1"/>
  <c r="K806" i="1"/>
  <c r="N805" i="1"/>
  <c r="K805" i="1"/>
  <c r="M804" i="1"/>
  <c r="K804" i="1"/>
  <c r="M803" i="1"/>
  <c r="K803" i="1"/>
  <c r="L802" i="1"/>
  <c r="K802" i="1"/>
  <c r="I575" i="1"/>
  <c r="N575" i="1" s="1"/>
  <c r="I574" i="1"/>
  <c r="N574" i="1" s="1"/>
  <c r="I573" i="1"/>
  <c r="I572" i="1"/>
  <c r="I566" i="1" s="1"/>
  <c r="I571" i="1"/>
  <c r="M571" i="1" s="1"/>
  <c r="I570" i="1"/>
  <c r="M570" i="1" s="1"/>
  <c r="I569" i="1"/>
  <c r="M569" i="1" s="1"/>
  <c r="I568" i="1"/>
  <c r="K568" i="1" s="1"/>
  <c r="I567" i="1"/>
  <c r="L567" i="1" s="1"/>
  <c r="R572" i="1"/>
  <c r="O787" i="1"/>
  <c r="K786" i="1"/>
  <c r="I674" i="1"/>
  <c r="N674" i="1" s="1"/>
  <c r="I673" i="1"/>
  <c r="N673" i="1" s="1"/>
  <c r="I648" i="1"/>
  <c r="N648" i="1" s="1"/>
  <c r="I647" i="1"/>
  <c r="K647" i="1" s="1"/>
  <c r="I646" i="1"/>
  <c r="N646" i="1" s="1"/>
  <c r="I645" i="1"/>
  <c r="N645" i="1" s="1"/>
  <c r="I644" i="1"/>
  <c r="N644" i="1" s="1"/>
  <c r="I611" i="1"/>
  <c r="K611" i="1" s="1"/>
  <c r="I607" i="1"/>
  <c r="N607" i="1" s="1"/>
  <c r="I582" i="1"/>
  <c r="N582" i="1" s="1"/>
  <c r="I559" i="1"/>
  <c r="N559" i="1" s="1"/>
  <c r="I558" i="1"/>
  <c r="K558" i="1" s="1"/>
  <c r="I484" i="1"/>
  <c r="N484" i="1" s="1"/>
  <c r="I466" i="1"/>
  <c r="K466" i="1" s="1"/>
  <c r="I465" i="1"/>
  <c r="N465" i="1" s="1"/>
  <c r="I464" i="1"/>
  <c r="K464" i="1" s="1"/>
  <c r="I440" i="1"/>
  <c r="N440" i="1" s="1"/>
  <c r="I439" i="1"/>
  <c r="K439" i="1" s="1"/>
  <c r="I294" i="1"/>
  <c r="N294" i="1" s="1"/>
  <c r="I258" i="1"/>
  <c r="K258" i="1" s="1"/>
  <c r="I176" i="1"/>
  <c r="N176" i="1" s="1"/>
  <c r="I92" i="1"/>
  <c r="K92" i="1" s="1"/>
  <c r="I91" i="1"/>
  <c r="N91" i="1" s="1"/>
  <c r="P786" i="1"/>
  <c r="P787" i="1" s="1"/>
  <c r="P789" i="1" s="1"/>
  <c r="N653" i="1"/>
  <c r="K641" i="1"/>
  <c r="N634" i="1"/>
  <c r="M626" i="1"/>
  <c r="K613" i="1"/>
  <c r="L609" i="1"/>
  <c r="K605" i="1"/>
  <c r="M604" i="1"/>
  <c r="N601" i="1"/>
  <c r="M597" i="1"/>
  <c r="N593" i="1"/>
  <c r="L589" i="1"/>
  <c r="M580" i="1"/>
  <c r="K578" i="1"/>
  <c r="K565" i="1"/>
  <c r="K564" i="1"/>
  <c r="M562" i="1"/>
  <c r="N557" i="1"/>
  <c r="K556" i="1"/>
  <c r="L554" i="1"/>
  <c r="N549" i="1"/>
  <c r="M548" i="1"/>
  <c r="L546" i="1"/>
  <c r="M541" i="1"/>
  <c r="K540" i="1"/>
  <c r="K536" i="1"/>
  <c r="K532" i="1"/>
  <c r="M528" i="1"/>
  <c r="K525" i="1"/>
  <c r="N522" i="1"/>
  <c r="M517" i="1"/>
  <c r="M516" i="1"/>
  <c r="M513" i="1"/>
  <c r="K512" i="1"/>
  <c r="L508" i="1"/>
  <c r="K504" i="1"/>
  <c r="K501" i="1"/>
  <c r="L500" i="1"/>
  <c r="K482" i="1"/>
  <c r="K481" i="1"/>
  <c r="N477" i="1"/>
  <c r="K461" i="1"/>
  <c r="N460" i="1"/>
  <c r="K457" i="1"/>
  <c r="N456" i="1"/>
  <c r="N452" i="1"/>
  <c r="K448" i="1"/>
  <c r="K445" i="1"/>
  <c r="M444" i="1"/>
  <c r="K437" i="1"/>
  <c r="N434" i="1"/>
  <c r="K433" i="1"/>
  <c r="K429" i="1"/>
  <c r="N428" i="1"/>
  <c r="K426" i="1"/>
  <c r="N420" i="1"/>
  <c r="L417" i="1"/>
  <c r="N413" i="1"/>
  <c r="K412" i="1"/>
  <c r="N410" i="1"/>
  <c r="K405" i="1"/>
  <c r="N402" i="1"/>
  <c r="K397" i="1"/>
  <c r="K396" i="1"/>
  <c r="N388" i="1"/>
  <c r="N381" i="1"/>
  <c r="K380" i="1"/>
  <c r="N372" i="1"/>
  <c r="N370" i="1"/>
  <c r="M369" i="1"/>
  <c r="K362" i="1"/>
  <c r="K361" i="1"/>
  <c r="N360" i="1"/>
  <c r="N353" i="1"/>
  <c r="L349" i="1"/>
  <c r="N344" i="1"/>
  <c r="K336" i="1"/>
  <c r="K333" i="1"/>
  <c r="K325" i="1"/>
  <c r="L324" i="1"/>
  <c r="K321" i="1"/>
  <c r="M317" i="1"/>
  <c r="K316" i="1"/>
  <c r="M308" i="1"/>
  <c r="K305" i="1"/>
  <c r="K304" i="1"/>
  <c r="K298" i="1"/>
  <c r="L296" i="1"/>
  <c r="K293" i="1"/>
  <c r="K292" i="1"/>
  <c r="N290" i="1"/>
  <c r="K289" i="1"/>
  <c r="N288" i="1"/>
  <c r="L285" i="1"/>
  <c r="L277" i="1"/>
  <c r="K273" i="1"/>
  <c r="M272" i="1"/>
  <c r="N269" i="1"/>
  <c r="K268" i="1"/>
  <c r="N266" i="1"/>
  <c r="K260" i="1"/>
  <c r="K248" i="1"/>
  <c r="L244" i="1"/>
  <c r="K242" i="1"/>
  <c r="N240" i="1"/>
  <c r="N234" i="1"/>
  <c r="K233" i="1"/>
  <c r="N232" i="1"/>
  <c r="N228" i="1"/>
  <c r="K225" i="1"/>
  <c r="K224" i="1"/>
  <c r="N220" i="1"/>
  <c r="K218" i="1"/>
  <c r="L213" i="1"/>
  <c r="M209" i="1"/>
  <c r="N204" i="1"/>
  <c r="K197" i="1"/>
  <c r="N196" i="1"/>
  <c r="N192" i="1"/>
  <c r="K189" i="1"/>
  <c r="K188" i="1"/>
  <c r="K185" i="1"/>
  <c r="K184" i="1"/>
  <c r="N181" i="1"/>
  <c r="K180" i="1"/>
  <c r="N173" i="1"/>
  <c r="K168" i="1"/>
  <c r="M165" i="1"/>
  <c r="M164" i="1"/>
  <c r="K161" i="1"/>
  <c r="N160" i="1"/>
  <c r="K157" i="1"/>
  <c r="M149" i="1"/>
  <c r="K148" i="1"/>
  <c r="N144" i="1"/>
  <c r="M141" i="1"/>
  <c r="N138" i="1"/>
  <c r="N132" i="1"/>
  <c r="K129" i="1"/>
  <c r="K128" i="1"/>
  <c r="N125" i="1"/>
  <c r="N124" i="1"/>
  <c r="L121" i="1"/>
  <c r="L117" i="1"/>
  <c r="N114" i="1"/>
  <c r="L112" i="1"/>
  <c r="N108" i="1"/>
  <c r="K107" i="1"/>
  <c r="N106" i="1"/>
  <c r="N105" i="1"/>
  <c r="M97" i="1"/>
  <c r="K90" i="1"/>
  <c r="N85" i="1"/>
  <c r="N84" i="1"/>
  <c r="M83" i="1"/>
  <c r="L82" i="1"/>
  <c r="K80" i="1"/>
  <c r="K77" i="1"/>
  <c r="N75" i="1"/>
  <c r="M74" i="1"/>
  <c r="K72" i="1"/>
  <c r="N69" i="1"/>
  <c r="N68" i="1"/>
  <c r="M67" i="1"/>
  <c r="K66" i="1"/>
  <c r="N64" i="1"/>
  <c r="M59" i="1"/>
  <c r="M58" i="1"/>
  <c r="M57" i="1"/>
  <c r="L56" i="1"/>
  <c r="K52" i="1"/>
  <c r="K51" i="1"/>
  <c r="L50" i="1"/>
  <c r="N48" i="1"/>
  <c r="K45" i="1"/>
  <c r="L44" i="1"/>
  <c r="K42" i="1"/>
  <c r="M41" i="1"/>
  <c r="L40" i="1"/>
  <c r="M37" i="1"/>
  <c r="M36" i="1"/>
  <c r="M35" i="1"/>
  <c r="M29" i="1"/>
  <c r="M28" i="1"/>
  <c r="K27" i="1"/>
  <c r="M21" i="1"/>
  <c r="L20" i="1"/>
  <c r="H218" i="3"/>
  <c r="H217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214" i="3" s="1"/>
  <c r="H57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54" i="3" s="1"/>
  <c r="H18" i="3"/>
  <c r="H19" i="3" s="1"/>
  <c r="L785" i="1"/>
  <c r="L763" i="1"/>
  <c r="L740" i="1"/>
  <c r="L733" i="1"/>
  <c r="L728" i="1"/>
  <c r="L712" i="1"/>
  <c r="L703" i="1"/>
  <c r="L696" i="1"/>
  <c r="L688" i="1"/>
  <c r="L683" i="1"/>
  <c r="L676" i="1"/>
  <c r="L669" i="1"/>
  <c r="L662" i="1"/>
  <c r="L655" i="1"/>
  <c r="L650" i="1"/>
  <c r="L638" i="1"/>
  <c r="L630" i="1"/>
  <c r="L625" i="1"/>
  <c r="L618" i="1"/>
  <c r="L603" i="1"/>
  <c r="L584" i="1"/>
  <c r="L578" i="1"/>
  <c r="L561" i="1"/>
  <c r="L535" i="1"/>
  <c r="L512" i="1"/>
  <c r="L494" i="1"/>
  <c r="L491" i="1"/>
  <c r="L486" i="1"/>
  <c r="L479" i="1"/>
  <c r="L442" i="1"/>
  <c r="L432" i="1"/>
  <c r="L423" i="1"/>
  <c r="L405" i="1"/>
  <c r="L396" i="1"/>
  <c r="L390" i="1"/>
  <c r="L387" i="1"/>
  <c r="L384" i="1"/>
  <c r="L379" i="1"/>
  <c r="L375" i="1"/>
  <c r="L367" i="1"/>
  <c r="L364" i="1"/>
  <c r="L357" i="1"/>
  <c r="L338" i="1"/>
  <c r="L335" i="1"/>
  <c r="L331" i="1"/>
  <c r="L307" i="1"/>
  <c r="L304" i="1"/>
  <c r="L292" i="1"/>
  <c r="L271" i="1"/>
  <c r="L265" i="1"/>
  <c r="L256" i="1"/>
  <c r="L251" i="1"/>
  <c r="L230" i="1"/>
  <c r="L223" i="1"/>
  <c r="L217" i="1"/>
  <c r="L208" i="1"/>
  <c r="L200" i="1"/>
  <c r="L187" i="1"/>
  <c r="L183" i="1"/>
  <c r="L163" i="1"/>
  <c r="L157" i="1"/>
  <c r="L153" i="1"/>
  <c r="L134" i="1"/>
  <c r="L127" i="1"/>
  <c r="L103" i="1"/>
  <c r="L95" i="1"/>
  <c r="L77" i="1"/>
  <c r="L72" i="1"/>
  <c r="L66" i="1"/>
  <c r="M767" i="1"/>
  <c r="M766" i="1"/>
  <c r="M765" i="1"/>
  <c r="M764" i="1"/>
  <c r="M745" i="1"/>
  <c r="M744" i="1"/>
  <c r="M743" i="1"/>
  <c r="M742" i="1"/>
  <c r="M741" i="1"/>
  <c r="M735" i="1"/>
  <c r="M734" i="1"/>
  <c r="M730" i="1"/>
  <c r="M729" i="1"/>
  <c r="M715" i="1"/>
  <c r="M714" i="1"/>
  <c r="M713" i="1"/>
  <c r="M706" i="1"/>
  <c r="M705" i="1"/>
  <c r="M704" i="1"/>
  <c r="M698" i="1"/>
  <c r="M697" i="1"/>
  <c r="M691" i="1"/>
  <c r="M690" i="1"/>
  <c r="M689" i="1"/>
  <c r="M685" i="1"/>
  <c r="M684" i="1"/>
  <c r="M679" i="1"/>
  <c r="M678" i="1"/>
  <c r="M677" i="1"/>
  <c r="M671" i="1"/>
  <c r="M670" i="1"/>
  <c r="M665" i="1"/>
  <c r="M664" i="1"/>
  <c r="M663" i="1"/>
  <c r="M657" i="1"/>
  <c r="M656" i="1"/>
  <c r="M651" i="1"/>
  <c r="M641" i="1"/>
  <c r="M640" i="1"/>
  <c r="M639" i="1"/>
  <c r="M632" i="1"/>
  <c r="M631" i="1"/>
  <c r="M627" i="1"/>
  <c r="M619" i="1"/>
  <c r="M615" i="1"/>
  <c r="M614" i="1"/>
  <c r="M610" i="1"/>
  <c r="M599" i="1"/>
  <c r="M598" i="1"/>
  <c r="M591" i="1"/>
  <c r="M590" i="1"/>
  <c r="M586" i="1"/>
  <c r="M585" i="1"/>
  <c r="M579" i="1"/>
  <c r="M563" i="1"/>
  <c r="M555" i="1"/>
  <c r="M547" i="1"/>
  <c r="M542" i="1"/>
  <c r="M537" i="1"/>
  <c r="M536" i="1"/>
  <c r="M527" i="1"/>
  <c r="M526" i="1"/>
  <c r="M525" i="1"/>
  <c r="M515" i="1"/>
  <c r="M514" i="1"/>
  <c r="M502" i="1"/>
  <c r="M501" i="1"/>
  <c r="M481" i="1"/>
  <c r="M480" i="1"/>
  <c r="M472" i="1"/>
  <c r="M471" i="1"/>
  <c r="M470" i="1"/>
  <c r="M449" i="1"/>
  <c r="M448" i="1"/>
  <c r="M447" i="1"/>
  <c r="M446" i="1"/>
  <c r="M445" i="1"/>
  <c r="M443" i="1"/>
  <c r="M438" i="1"/>
  <c r="M433" i="1"/>
  <c r="M426" i="1"/>
  <c r="M425" i="1"/>
  <c r="M424" i="1"/>
  <c r="M418" i="1"/>
  <c r="M408" i="1"/>
  <c r="M407" i="1"/>
  <c r="M406" i="1"/>
  <c r="M399" i="1"/>
  <c r="M398" i="1"/>
  <c r="M397" i="1"/>
  <c r="M391" i="1"/>
  <c r="M380" i="1"/>
  <c r="M376" i="1"/>
  <c r="M359" i="1"/>
  <c r="M358" i="1"/>
  <c r="M352" i="1"/>
  <c r="M351" i="1"/>
  <c r="M350" i="1"/>
  <c r="M343" i="1"/>
  <c r="M342" i="1"/>
  <c r="M326" i="1"/>
  <c r="M319" i="1"/>
  <c r="M318" i="1"/>
  <c r="M309" i="1"/>
  <c r="M293" i="1"/>
  <c r="M287" i="1"/>
  <c r="M286" i="1"/>
  <c r="M280" i="1"/>
  <c r="M279" i="1"/>
  <c r="M278" i="1"/>
  <c r="M257" i="1"/>
  <c r="M245" i="1"/>
  <c r="M238" i="1"/>
  <c r="M231" i="1"/>
  <c r="M224" i="1"/>
  <c r="M218" i="1"/>
  <c r="M214" i="1"/>
  <c r="M195" i="1"/>
  <c r="M184" i="1"/>
  <c r="M179" i="1"/>
  <c r="M166" i="1"/>
  <c r="M158" i="1"/>
  <c r="M135" i="1"/>
  <c r="M118" i="1"/>
  <c r="M113" i="1"/>
  <c r="M104" i="1"/>
  <c r="M96" i="1"/>
  <c r="M89" i="1"/>
  <c r="M79" i="1"/>
  <c r="M78" i="1"/>
  <c r="M73" i="1"/>
  <c r="M52" i="1"/>
  <c r="M51" i="1"/>
  <c r="M47" i="1"/>
  <c r="M46" i="1"/>
  <c r="M30" i="1"/>
  <c r="M23" i="1"/>
  <c r="M22" i="1"/>
  <c r="K785" i="1"/>
  <c r="N783" i="1"/>
  <c r="K783" i="1"/>
  <c r="N782" i="1"/>
  <c r="K782" i="1"/>
  <c r="N781" i="1"/>
  <c r="K781" i="1"/>
  <c r="N780" i="1"/>
  <c r="K780" i="1"/>
  <c r="N779" i="1"/>
  <c r="K779" i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K767" i="1"/>
  <c r="K766" i="1"/>
  <c r="K765" i="1"/>
  <c r="K764" i="1"/>
  <c r="K763" i="1"/>
  <c r="N761" i="1"/>
  <c r="K761" i="1"/>
  <c r="N760" i="1"/>
  <c r="K760" i="1"/>
  <c r="N759" i="1"/>
  <c r="K759" i="1"/>
  <c r="N758" i="1"/>
  <c r="K758" i="1"/>
  <c r="N757" i="1"/>
  <c r="K757" i="1"/>
  <c r="N756" i="1"/>
  <c r="K756" i="1"/>
  <c r="N755" i="1"/>
  <c r="K755" i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K745" i="1"/>
  <c r="K744" i="1"/>
  <c r="K743" i="1"/>
  <c r="K742" i="1"/>
  <c r="K741" i="1"/>
  <c r="K740" i="1"/>
  <c r="N737" i="1"/>
  <c r="K737" i="1"/>
  <c r="N736" i="1"/>
  <c r="K736" i="1"/>
  <c r="K735" i="1"/>
  <c r="K734" i="1"/>
  <c r="K733" i="1"/>
  <c r="N731" i="1"/>
  <c r="K731" i="1"/>
  <c r="K730" i="1"/>
  <c r="K729" i="1"/>
  <c r="K728" i="1"/>
  <c r="N726" i="1"/>
  <c r="K726" i="1"/>
  <c r="N725" i="1"/>
  <c r="K725" i="1"/>
  <c r="N724" i="1"/>
  <c r="K724" i="1"/>
  <c r="N723" i="1"/>
  <c r="K723" i="1"/>
  <c r="N722" i="1"/>
  <c r="K722" i="1"/>
  <c r="N721" i="1"/>
  <c r="K721" i="1"/>
  <c r="N720" i="1"/>
  <c r="K720" i="1"/>
  <c r="N719" i="1"/>
  <c r="K719" i="1"/>
  <c r="N718" i="1"/>
  <c r="K718" i="1"/>
  <c r="N717" i="1"/>
  <c r="K717" i="1"/>
  <c r="N716" i="1"/>
  <c r="K716" i="1"/>
  <c r="K715" i="1"/>
  <c r="K714" i="1"/>
  <c r="K713" i="1"/>
  <c r="K712" i="1"/>
  <c r="N709" i="1"/>
  <c r="K709" i="1"/>
  <c r="N708" i="1"/>
  <c r="K708" i="1"/>
  <c r="N707" i="1"/>
  <c r="K707" i="1"/>
  <c r="K706" i="1"/>
  <c r="K705" i="1"/>
  <c r="K704" i="1"/>
  <c r="K703" i="1"/>
  <c r="N701" i="1"/>
  <c r="K701" i="1"/>
  <c r="N700" i="1"/>
  <c r="K700" i="1"/>
  <c r="N699" i="1"/>
  <c r="K699" i="1"/>
  <c r="K698" i="1"/>
  <c r="K697" i="1"/>
  <c r="K696" i="1"/>
  <c r="N694" i="1"/>
  <c r="K694" i="1"/>
  <c r="N693" i="1"/>
  <c r="K693" i="1"/>
  <c r="N692" i="1"/>
  <c r="K692" i="1"/>
  <c r="K691" i="1"/>
  <c r="K690" i="1"/>
  <c r="K689" i="1"/>
  <c r="K688" i="1"/>
  <c r="N686" i="1"/>
  <c r="K686" i="1"/>
  <c r="K685" i="1"/>
  <c r="K684" i="1"/>
  <c r="K683" i="1"/>
  <c r="N681" i="1"/>
  <c r="K681" i="1"/>
  <c r="N680" i="1"/>
  <c r="K680" i="1"/>
  <c r="K679" i="1"/>
  <c r="K678" i="1"/>
  <c r="K677" i="1"/>
  <c r="K676" i="1"/>
  <c r="N672" i="1"/>
  <c r="K672" i="1"/>
  <c r="K671" i="1"/>
  <c r="K670" i="1"/>
  <c r="K669" i="1"/>
  <c r="N667" i="1"/>
  <c r="K667" i="1"/>
  <c r="N666" i="1"/>
  <c r="K666" i="1"/>
  <c r="K665" i="1"/>
  <c r="K664" i="1"/>
  <c r="K663" i="1"/>
  <c r="K662" i="1"/>
  <c r="N659" i="1"/>
  <c r="K659" i="1"/>
  <c r="N658" i="1"/>
  <c r="K658" i="1"/>
  <c r="K657" i="1"/>
  <c r="K656" i="1"/>
  <c r="K655" i="1"/>
  <c r="K653" i="1"/>
  <c r="K651" i="1"/>
  <c r="K650" i="1"/>
  <c r="N643" i="1"/>
  <c r="K643" i="1"/>
  <c r="K640" i="1"/>
  <c r="K639" i="1"/>
  <c r="K638" i="1"/>
  <c r="N635" i="1"/>
  <c r="K635" i="1"/>
  <c r="K634" i="1"/>
  <c r="N633" i="1"/>
  <c r="K633" i="1"/>
  <c r="K632" i="1"/>
  <c r="K631" i="1"/>
  <c r="K630" i="1"/>
  <c r="K627" i="1"/>
  <c r="K626" i="1"/>
  <c r="K625" i="1"/>
  <c r="N623" i="1"/>
  <c r="K623" i="1"/>
  <c r="N622" i="1"/>
  <c r="K622" i="1"/>
  <c r="K619" i="1"/>
  <c r="K618" i="1"/>
  <c r="N616" i="1"/>
  <c r="K616" i="1"/>
  <c r="K615" i="1"/>
  <c r="K614" i="1"/>
  <c r="K610" i="1"/>
  <c r="K609" i="1"/>
  <c r="N606" i="1"/>
  <c r="K606" i="1"/>
  <c r="K603" i="1"/>
  <c r="K601" i="1"/>
  <c r="N600" i="1"/>
  <c r="K600" i="1"/>
  <c r="K599" i="1"/>
  <c r="K598" i="1"/>
  <c r="K593" i="1"/>
  <c r="N592" i="1"/>
  <c r="K592" i="1"/>
  <c r="K591" i="1"/>
  <c r="K590" i="1"/>
  <c r="K589" i="1"/>
  <c r="N587" i="1"/>
  <c r="K587" i="1"/>
  <c r="K586" i="1"/>
  <c r="K585" i="1"/>
  <c r="K584" i="1"/>
  <c r="K579" i="1"/>
  <c r="K567" i="1"/>
  <c r="K563" i="1"/>
  <c r="K562" i="1"/>
  <c r="K561" i="1"/>
  <c r="K557" i="1"/>
  <c r="N556" i="1"/>
  <c r="K555" i="1"/>
  <c r="K554" i="1"/>
  <c r="N552" i="1"/>
  <c r="K552" i="1"/>
  <c r="N551" i="1"/>
  <c r="K551" i="1"/>
  <c r="N550" i="1"/>
  <c r="K550" i="1"/>
  <c r="K549" i="1"/>
  <c r="K547" i="1"/>
  <c r="K546" i="1"/>
  <c r="N544" i="1"/>
  <c r="K544" i="1"/>
  <c r="N543" i="1"/>
  <c r="K543" i="1"/>
  <c r="K542" i="1"/>
  <c r="N538" i="1"/>
  <c r="K538" i="1"/>
  <c r="K537" i="1"/>
  <c r="K535" i="1"/>
  <c r="N533" i="1"/>
  <c r="K533" i="1"/>
  <c r="N532" i="1"/>
  <c r="N531" i="1"/>
  <c r="K531" i="1"/>
  <c r="N529" i="1"/>
  <c r="K529" i="1"/>
  <c r="K528" i="1"/>
  <c r="K527" i="1"/>
  <c r="K526" i="1"/>
  <c r="K522" i="1"/>
  <c r="N521" i="1"/>
  <c r="K521" i="1"/>
  <c r="N520" i="1"/>
  <c r="K520" i="1"/>
  <c r="N519" i="1"/>
  <c r="K519" i="1"/>
  <c r="N518" i="1"/>
  <c r="K518" i="1"/>
  <c r="K515" i="1"/>
  <c r="K514" i="1"/>
  <c r="K513" i="1"/>
  <c r="N510" i="1"/>
  <c r="K510" i="1"/>
  <c r="K508" i="1"/>
  <c r="N505" i="1"/>
  <c r="K505" i="1"/>
  <c r="N504" i="1"/>
  <c r="N503" i="1"/>
  <c r="K503" i="1"/>
  <c r="K502" i="1"/>
  <c r="K500" i="1"/>
  <c r="N497" i="1"/>
  <c r="K497" i="1"/>
  <c r="N495" i="1"/>
  <c r="K495" i="1"/>
  <c r="K494" i="1"/>
  <c r="K491" i="1"/>
  <c r="N487" i="1"/>
  <c r="K487" i="1"/>
  <c r="K486" i="1"/>
  <c r="N483" i="1"/>
  <c r="K483" i="1"/>
  <c r="K480" i="1"/>
  <c r="K479" i="1"/>
  <c r="K477" i="1"/>
  <c r="N476" i="1"/>
  <c r="K476" i="1"/>
  <c r="N475" i="1"/>
  <c r="K475" i="1"/>
  <c r="N474" i="1"/>
  <c r="K474" i="1"/>
  <c r="N473" i="1"/>
  <c r="K473" i="1"/>
  <c r="K472" i="1"/>
  <c r="K471" i="1"/>
  <c r="K470" i="1"/>
  <c r="N463" i="1"/>
  <c r="K463" i="1"/>
  <c r="N462" i="1"/>
  <c r="K462" i="1"/>
  <c r="N461" i="1"/>
  <c r="K460" i="1"/>
  <c r="N459" i="1"/>
  <c r="K459" i="1"/>
  <c r="N458" i="1"/>
  <c r="K458" i="1"/>
  <c r="N457" i="1"/>
  <c r="K456" i="1"/>
  <c r="N455" i="1"/>
  <c r="K455" i="1"/>
  <c r="N454" i="1"/>
  <c r="K454" i="1"/>
  <c r="N451" i="1"/>
  <c r="K451" i="1"/>
  <c r="N450" i="1"/>
  <c r="K450" i="1"/>
  <c r="K449" i="1"/>
  <c r="K447" i="1"/>
  <c r="K446" i="1"/>
  <c r="K443" i="1"/>
  <c r="K442" i="1"/>
  <c r="K438" i="1"/>
  <c r="K434" i="1"/>
  <c r="K432" i="1"/>
  <c r="N430" i="1"/>
  <c r="K430" i="1"/>
  <c r="N427" i="1"/>
  <c r="K427" i="1"/>
  <c r="K425" i="1"/>
  <c r="K424" i="1"/>
  <c r="K423" i="1"/>
  <c r="N419" i="1"/>
  <c r="K419" i="1"/>
  <c r="K418" i="1"/>
  <c r="N415" i="1"/>
  <c r="K415" i="1"/>
  <c r="N414" i="1"/>
  <c r="K414" i="1"/>
  <c r="N411" i="1"/>
  <c r="K411" i="1"/>
  <c r="K410" i="1"/>
  <c r="N409" i="1"/>
  <c r="K409" i="1"/>
  <c r="K408" i="1"/>
  <c r="K407" i="1"/>
  <c r="K406" i="1"/>
  <c r="K402" i="1"/>
  <c r="N401" i="1"/>
  <c r="K401" i="1"/>
  <c r="N400" i="1"/>
  <c r="K400" i="1"/>
  <c r="K399" i="1"/>
  <c r="K398" i="1"/>
  <c r="N393" i="1"/>
  <c r="K393" i="1"/>
  <c r="N392" i="1"/>
  <c r="K392" i="1"/>
  <c r="K391" i="1"/>
  <c r="K390" i="1"/>
  <c r="K387" i="1"/>
  <c r="N385" i="1"/>
  <c r="K385" i="1"/>
  <c r="K384" i="1"/>
  <c r="N382" i="1"/>
  <c r="K382" i="1"/>
  <c r="K379" i="1"/>
  <c r="N377" i="1"/>
  <c r="K377" i="1"/>
  <c r="K376" i="1"/>
  <c r="K375" i="1"/>
  <c r="K372" i="1"/>
  <c r="N371" i="1"/>
  <c r="K371" i="1"/>
  <c r="K370" i="1"/>
  <c r="K369" i="1"/>
  <c r="K367" i="1"/>
  <c r="N365" i="1"/>
  <c r="K365" i="1"/>
  <c r="K364" i="1"/>
  <c r="N362" i="1"/>
  <c r="N361" i="1"/>
  <c r="K360" i="1"/>
  <c r="K359" i="1"/>
  <c r="K358" i="1"/>
  <c r="K357" i="1"/>
  <c r="N355" i="1"/>
  <c r="K355" i="1"/>
  <c r="K353" i="1"/>
  <c r="K352" i="1"/>
  <c r="K351" i="1"/>
  <c r="K350" i="1"/>
  <c r="N345" i="1"/>
  <c r="K345" i="1"/>
  <c r="K344" i="1"/>
  <c r="K343" i="1"/>
  <c r="K342" i="1"/>
  <c r="N339" i="1"/>
  <c r="K339" i="1"/>
  <c r="K338" i="1"/>
  <c r="N336" i="1"/>
  <c r="K335" i="1"/>
  <c r="N333" i="1"/>
  <c r="K331" i="1"/>
  <c r="N329" i="1"/>
  <c r="K329" i="1"/>
  <c r="N328" i="1"/>
  <c r="K328" i="1"/>
  <c r="N327" i="1"/>
  <c r="K327" i="1"/>
  <c r="K326" i="1"/>
  <c r="N322" i="1"/>
  <c r="K322" i="1"/>
  <c r="N321" i="1"/>
  <c r="K319" i="1"/>
  <c r="K318" i="1"/>
  <c r="K317" i="1"/>
  <c r="N312" i="1"/>
  <c r="K312" i="1"/>
  <c r="N311" i="1"/>
  <c r="K311" i="1"/>
  <c r="N310" i="1"/>
  <c r="K310" i="1"/>
  <c r="K309" i="1"/>
  <c r="K307" i="1"/>
  <c r="N305" i="1"/>
  <c r="N302" i="1"/>
  <c r="K302" i="1"/>
  <c r="N299" i="1"/>
  <c r="K299" i="1"/>
  <c r="N298" i="1"/>
  <c r="K296" i="1"/>
  <c r="K290" i="1"/>
  <c r="N289" i="1"/>
  <c r="K288" i="1"/>
  <c r="K287" i="1"/>
  <c r="K286" i="1"/>
  <c r="N283" i="1"/>
  <c r="K283" i="1"/>
  <c r="N281" i="1"/>
  <c r="K281" i="1"/>
  <c r="K280" i="1"/>
  <c r="K279" i="1"/>
  <c r="K278" i="1"/>
  <c r="N273" i="1"/>
  <c r="K272" i="1"/>
  <c r="K271" i="1"/>
  <c r="K269" i="1"/>
  <c r="K266" i="1"/>
  <c r="K265" i="1"/>
  <c r="N263" i="1"/>
  <c r="K263" i="1"/>
  <c r="N262" i="1"/>
  <c r="K262" i="1"/>
  <c r="K257" i="1"/>
  <c r="K256" i="1"/>
  <c r="N252" i="1"/>
  <c r="K252" i="1"/>
  <c r="K251" i="1"/>
  <c r="N247" i="1"/>
  <c r="K247" i="1"/>
  <c r="N246" i="1"/>
  <c r="K246" i="1"/>
  <c r="K245" i="1"/>
  <c r="K244" i="1"/>
  <c r="N242" i="1"/>
  <c r="K240" i="1"/>
  <c r="N239" i="1"/>
  <c r="K239" i="1"/>
  <c r="K238" i="1"/>
  <c r="K234" i="1"/>
  <c r="N233" i="1"/>
  <c r="K232" i="1"/>
  <c r="K231" i="1"/>
  <c r="K230" i="1"/>
  <c r="N227" i="1"/>
  <c r="K227" i="1"/>
  <c r="N225" i="1"/>
  <c r="K223" i="1"/>
  <c r="N221" i="1"/>
  <c r="K221" i="1"/>
  <c r="N219" i="1"/>
  <c r="K219" i="1"/>
  <c r="K217" i="1"/>
  <c r="N215" i="1"/>
  <c r="K215" i="1"/>
  <c r="K214" i="1"/>
  <c r="N211" i="1"/>
  <c r="K211" i="1"/>
  <c r="K209" i="1"/>
  <c r="K208" i="1"/>
  <c r="K204" i="1"/>
  <c r="N203" i="1"/>
  <c r="K203" i="1"/>
  <c r="K200" i="1"/>
  <c r="N198" i="1"/>
  <c r="K198" i="1"/>
  <c r="K195" i="1"/>
  <c r="K192" i="1"/>
  <c r="N191" i="1"/>
  <c r="K191" i="1"/>
  <c r="N190" i="1"/>
  <c r="K190" i="1"/>
  <c r="K187" i="1"/>
  <c r="N185" i="1"/>
  <c r="K183" i="1"/>
  <c r="K179" i="1"/>
  <c r="N175" i="1"/>
  <c r="K175" i="1"/>
  <c r="N174" i="1"/>
  <c r="K174" i="1"/>
  <c r="N171" i="1"/>
  <c r="K171" i="1"/>
  <c r="N170" i="1"/>
  <c r="K170" i="1"/>
  <c r="N169" i="1"/>
  <c r="K169" i="1"/>
  <c r="N168" i="1"/>
  <c r="N167" i="1"/>
  <c r="K167" i="1"/>
  <c r="K166" i="1"/>
  <c r="K163" i="1"/>
  <c r="N161" i="1"/>
  <c r="K160" i="1"/>
  <c r="N159" i="1"/>
  <c r="K159" i="1"/>
  <c r="K158" i="1"/>
  <c r="N155" i="1"/>
  <c r="K155" i="1"/>
  <c r="K153" i="1"/>
  <c r="N151" i="1"/>
  <c r="K151" i="1"/>
  <c r="N150" i="1"/>
  <c r="K150" i="1"/>
  <c r="K144" i="1"/>
  <c r="N143" i="1"/>
  <c r="K143" i="1"/>
  <c r="N142" i="1"/>
  <c r="K142" i="1"/>
  <c r="N137" i="1"/>
  <c r="K137" i="1"/>
  <c r="N136" i="1"/>
  <c r="K136" i="1"/>
  <c r="K135" i="1"/>
  <c r="K134" i="1"/>
  <c r="N131" i="1"/>
  <c r="K131" i="1"/>
  <c r="N130" i="1"/>
  <c r="K130" i="1"/>
  <c r="N129" i="1"/>
  <c r="K127" i="1"/>
  <c r="N123" i="1"/>
  <c r="K123" i="1"/>
  <c r="K121" i="1"/>
  <c r="N119" i="1"/>
  <c r="K119" i="1"/>
  <c r="K118" i="1"/>
  <c r="N115" i="1"/>
  <c r="K115" i="1"/>
  <c r="K114" i="1"/>
  <c r="K113" i="1"/>
  <c r="K112" i="1"/>
  <c r="N107" i="1"/>
  <c r="K106" i="1"/>
  <c r="K105" i="1"/>
  <c r="K104" i="1"/>
  <c r="K103" i="1"/>
  <c r="K97" i="1"/>
  <c r="K96" i="1"/>
  <c r="K95" i="1"/>
  <c r="N90" i="1"/>
  <c r="K89" i="1"/>
  <c r="K85" i="1"/>
  <c r="K84" i="1"/>
  <c r="K83" i="1"/>
  <c r="K82" i="1"/>
  <c r="N80" i="1"/>
  <c r="K79" i="1"/>
  <c r="K78" i="1"/>
  <c r="K74" i="1"/>
  <c r="K73" i="1"/>
  <c r="N70" i="1"/>
  <c r="K70" i="1"/>
  <c r="K64" i="1"/>
  <c r="N63" i="1"/>
  <c r="K63" i="1"/>
  <c r="N62" i="1"/>
  <c r="K62" i="1"/>
  <c r="K57" i="1"/>
  <c r="K56" i="1"/>
  <c r="N54" i="1"/>
  <c r="K54" i="1"/>
  <c r="K50" i="1"/>
  <c r="K48" i="1"/>
  <c r="K47" i="1"/>
  <c r="K46" i="1"/>
  <c r="K44" i="1"/>
  <c r="N42" i="1"/>
  <c r="K41" i="1"/>
  <c r="K40" i="1"/>
  <c r="N38" i="1"/>
  <c r="K38" i="1"/>
  <c r="K37" i="1"/>
  <c r="K36" i="1"/>
  <c r="K35" i="1"/>
  <c r="N32" i="1"/>
  <c r="K32" i="1"/>
  <c r="N31" i="1"/>
  <c r="K31" i="1"/>
  <c r="K30" i="1"/>
  <c r="K29" i="1"/>
  <c r="K28" i="1"/>
  <c r="N25" i="1"/>
  <c r="K25" i="1"/>
  <c r="N24" i="1"/>
  <c r="K24" i="1"/>
  <c r="K23" i="1"/>
  <c r="K22" i="1"/>
  <c r="K21" i="1"/>
  <c r="N890" i="1" l="1"/>
  <c r="N874" i="1"/>
  <c r="N895" i="1"/>
  <c r="N960" i="1"/>
  <c r="N999" i="1"/>
  <c r="O789" i="1"/>
  <c r="N879" i="1"/>
  <c r="N965" i="1"/>
  <c r="K1048" i="1"/>
  <c r="N949" i="1"/>
  <c r="K913" i="1"/>
  <c r="N1001" i="1"/>
  <c r="K1007" i="1"/>
  <c r="N996" i="1"/>
  <c r="K871" i="1"/>
  <c r="K887" i="1"/>
  <c r="N903" i="1"/>
  <c r="K861" i="1"/>
  <c r="K866" i="1"/>
  <c r="K882" i="1"/>
  <c r="K898" i="1"/>
  <c r="N957" i="1"/>
  <c r="K968" i="1"/>
  <c r="K808" i="1"/>
  <c r="K856" i="1"/>
  <c r="K952" i="1"/>
  <c r="N963" i="1"/>
  <c r="N993" i="1"/>
  <c r="K950" i="1"/>
  <c r="N857" i="1"/>
  <c r="K857" i="1"/>
  <c r="N875" i="1"/>
  <c r="K875" i="1"/>
  <c r="K896" i="1"/>
  <c r="N969" i="1"/>
  <c r="K969" i="1"/>
  <c r="K1046" i="1"/>
  <c r="K872" i="1"/>
  <c r="K869" i="1"/>
  <c r="N891" i="1"/>
  <c r="K891" i="1"/>
  <c r="N883" i="1"/>
  <c r="K883" i="1"/>
  <c r="K955" i="1"/>
  <c r="K991" i="1"/>
  <c r="K901" i="1"/>
  <c r="N867" i="1"/>
  <c r="K867" i="1"/>
  <c r="K888" i="1"/>
  <c r="K893" i="1"/>
  <c r="K947" i="1"/>
  <c r="L1049" i="1"/>
  <c r="K880" i="1"/>
  <c r="K885" i="1"/>
  <c r="N961" i="1"/>
  <c r="K961" i="1"/>
  <c r="N997" i="1"/>
  <c r="K997" i="1"/>
  <c r="M1049" i="1"/>
  <c r="K859" i="1"/>
  <c r="K877" i="1"/>
  <c r="K966" i="1"/>
  <c r="N1013" i="1"/>
  <c r="K1013" i="1"/>
  <c r="O1049" i="1"/>
  <c r="N953" i="1"/>
  <c r="K953" i="1"/>
  <c r="N989" i="1"/>
  <c r="K989" i="1"/>
  <c r="N899" i="1"/>
  <c r="K899" i="1"/>
  <c r="K958" i="1"/>
  <c r="K994" i="1"/>
  <c r="N860" i="1"/>
  <c r="K873" i="1"/>
  <c r="N878" i="1"/>
  <c r="K889" i="1"/>
  <c r="N894" i="1"/>
  <c r="N902" i="1"/>
  <c r="K951" i="1"/>
  <c r="N956" i="1"/>
  <c r="N992" i="1"/>
  <c r="K1047" i="1"/>
  <c r="K858" i="1"/>
  <c r="K868" i="1"/>
  <c r="K876" i="1"/>
  <c r="N881" i="1"/>
  <c r="K884" i="1"/>
  <c r="K892" i="1"/>
  <c r="N897" i="1"/>
  <c r="K900" i="1"/>
  <c r="K954" i="1"/>
  <c r="N959" i="1"/>
  <c r="K962" i="1"/>
  <c r="N967" i="1"/>
  <c r="K990" i="1"/>
  <c r="N995" i="1"/>
  <c r="K998" i="1"/>
  <c r="K870" i="1"/>
  <c r="K886" i="1"/>
  <c r="K948" i="1"/>
  <c r="K964" i="1"/>
  <c r="K979" i="1"/>
  <c r="K1000" i="1"/>
  <c r="K571" i="1"/>
  <c r="K574" i="1"/>
  <c r="K575" i="1"/>
  <c r="K569" i="1"/>
  <c r="M568" i="1"/>
  <c r="K570" i="1"/>
  <c r="K793" i="1"/>
  <c r="N258" i="1"/>
  <c r="N439" i="1"/>
  <c r="N464" i="1"/>
  <c r="K465" i="1"/>
  <c r="N558" i="1"/>
  <c r="N611" i="1"/>
  <c r="K644" i="1"/>
  <c r="K91" i="1"/>
  <c r="N647" i="1"/>
  <c r="K648" i="1"/>
  <c r="K559" i="1"/>
  <c r="K294" i="1"/>
  <c r="K673" i="1"/>
  <c r="K582" i="1"/>
  <c r="N92" i="1"/>
  <c r="K176" i="1"/>
  <c r="K440" i="1"/>
  <c r="K484" i="1"/>
  <c r="K607" i="1"/>
  <c r="K646" i="1"/>
  <c r="K674" i="1"/>
  <c r="K645" i="1"/>
  <c r="N466" i="1"/>
  <c r="K172" i="1"/>
  <c r="N172" i="1"/>
  <c r="M332" i="1"/>
  <c r="K332" i="1"/>
  <c r="N492" i="1"/>
  <c r="K492" i="1"/>
  <c r="K524" i="1"/>
  <c r="L524" i="1"/>
  <c r="N636" i="1"/>
  <c r="K636" i="1"/>
  <c r="K75" i="1"/>
  <c r="K261" i="1"/>
  <c r="M261" i="1"/>
  <c r="M621" i="1"/>
  <c r="K621" i="1"/>
  <c r="K58" i="1"/>
  <c r="K68" i="1"/>
  <c r="K149" i="1"/>
  <c r="K165" i="1"/>
  <c r="N189" i="1"/>
  <c r="N197" i="1"/>
  <c r="K349" i="1"/>
  <c r="M188" i="1"/>
  <c r="K59" i="1"/>
  <c r="K69" i="1"/>
  <c r="K124" i="1"/>
  <c r="K138" i="1"/>
  <c r="N412" i="1"/>
  <c r="K428" i="1"/>
  <c r="M128" i="1"/>
  <c r="L316" i="1"/>
  <c r="L437" i="1"/>
  <c r="L140" i="1"/>
  <c r="K140" i="1"/>
  <c r="N572" i="1"/>
  <c r="K572" i="1"/>
  <c r="M620" i="1"/>
  <c r="K620" i="1"/>
  <c r="K196" i="1"/>
  <c r="K237" i="1"/>
  <c r="L237" i="1"/>
  <c r="K341" i="1"/>
  <c r="L341" i="1"/>
  <c r="N581" i="1"/>
  <c r="K581" i="1"/>
  <c r="K117" i="1"/>
  <c r="K132" i="1"/>
  <c r="K141" i="1"/>
  <c r="N180" i="1"/>
  <c r="K413" i="1"/>
  <c r="N429" i="1"/>
  <c r="K444" i="1"/>
  <c r="K604" i="1"/>
  <c r="M45" i="1"/>
  <c r="M605" i="1"/>
  <c r="L27" i="1"/>
  <c r="L260" i="1"/>
  <c r="L613" i="1"/>
  <c r="L88" i="1"/>
  <c r="K88" i="1"/>
  <c r="K468" i="1"/>
  <c r="L468" i="1"/>
  <c r="K596" i="1"/>
  <c r="L596" i="1"/>
  <c r="M652" i="1"/>
  <c r="K652" i="1"/>
  <c r="K164" i="1"/>
  <c r="M564" i="1"/>
  <c r="N53" i="1"/>
  <c r="K53" i="1"/>
  <c r="L301" i="1"/>
  <c r="K301" i="1"/>
  <c r="K453" i="1"/>
  <c r="N453" i="1"/>
  <c r="M469" i="1"/>
  <c r="K469" i="1"/>
  <c r="N573" i="1"/>
  <c r="K573" i="1"/>
  <c r="K125" i="1"/>
  <c r="K173" i="1"/>
  <c r="K181" i="1"/>
  <c r="K220" i="1"/>
  <c r="K228" i="1"/>
  <c r="K324" i="1"/>
  <c r="K388" i="1"/>
  <c r="K420" i="1"/>
  <c r="K452" i="1"/>
  <c r="K516" i="1"/>
  <c r="K597" i="1"/>
  <c r="M325" i="1"/>
  <c r="L540" i="1"/>
  <c r="M201" i="1"/>
  <c r="K201" i="1"/>
  <c r="N241" i="1"/>
  <c r="K241" i="1"/>
  <c r="K99" i="1"/>
  <c r="N99" i="1"/>
  <c r="K60" i="1"/>
  <c r="M60" i="1"/>
  <c r="N628" i="1"/>
  <c r="K628" i="1"/>
  <c r="K67" i="1"/>
  <c r="K580" i="1"/>
  <c r="K61" i="1"/>
  <c r="N61" i="1"/>
  <c r="M509" i="1"/>
  <c r="K509" i="1"/>
  <c r="K108" i="1"/>
  <c r="K213" i="1"/>
  <c r="K277" i="1"/>
  <c r="K285" i="1"/>
  <c r="K308" i="1"/>
  <c r="K381" i="1"/>
  <c r="K517" i="1"/>
  <c r="K541" i="1"/>
  <c r="K548" i="1"/>
  <c r="N565" i="1"/>
  <c r="L148" i="1"/>
  <c r="L268" i="1"/>
  <c r="L34" i="1"/>
  <c r="K34" i="1"/>
  <c r="K98" i="1"/>
  <c r="M98" i="1"/>
  <c r="M122" i="1"/>
  <c r="K122" i="1"/>
  <c r="K154" i="1"/>
  <c r="M154" i="1"/>
  <c r="K178" i="1"/>
  <c r="L178" i="1"/>
  <c r="L194" i="1"/>
  <c r="K194" i="1"/>
  <c r="N202" i="1"/>
  <c r="K202" i="1"/>
  <c r="N210" i="1"/>
  <c r="K210" i="1"/>
  <c r="N226" i="1"/>
  <c r="K226" i="1"/>
  <c r="N248" i="1"/>
  <c r="K417" i="1"/>
  <c r="N482" i="1"/>
  <c r="N320" i="1"/>
  <c r="K320" i="1"/>
  <c r="K368" i="1"/>
  <c r="M368" i="1"/>
  <c r="N488" i="1"/>
  <c r="K488" i="1"/>
  <c r="N496" i="1"/>
  <c r="K496" i="1"/>
  <c r="M297" i="1"/>
  <c r="K297" i="1"/>
  <c r="N274" i="1"/>
  <c r="K274" i="1"/>
  <c r="N282" i="1"/>
  <c r="K282" i="1"/>
  <c r="N346" i="1"/>
  <c r="K346" i="1"/>
  <c r="N354" i="1"/>
  <c r="K354" i="1"/>
  <c r="N530" i="1"/>
  <c r="K530" i="1"/>
  <c r="K642" i="1"/>
  <c r="M642" i="1"/>
  <c r="K20" i="1"/>
  <c r="H220" i="3"/>
  <c r="N1049" i="1" l="1"/>
  <c r="K1052" i="1" s="1"/>
  <c r="K1053" i="1" s="1"/>
  <c r="M1051" i="1"/>
  <c r="K1051" i="1"/>
  <c r="O1051" i="1"/>
  <c r="K1055" i="1"/>
  <c r="L1051" i="1"/>
  <c r="K1050" i="1"/>
  <c r="L787" i="1"/>
  <c r="M787" i="1"/>
  <c r="M789" i="1" s="1"/>
  <c r="N787" i="1"/>
  <c r="N789" i="1" s="1"/>
  <c r="N1051" i="1" l="1"/>
  <c r="K788" i="1"/>
  <c r="K787" i="1"/>
  <c r="K1059" i="1"/>
  <c r="K1058" i="1"/>
  <c r="K1060" i="1" s="1"/>
  <c r="K789" i="1"/>
  <c r="K790" i="1"/>
  <c r="K791" i="1" s="1"/>
  <c r="L789" i="1"/>
  <c r="K796" i="1" l="1"/>
  <c r="K797" i="1"/>
  <c r="K798" i="1" l="1"/>
  <c r="Q566" i="1"/>
  <c r="Q567" i="1" s="1"/>
  <c r="R567" i="1" s="1"/>
  <c r="Q568" i="1" l="1"/>
  <c r="R568" i="1" s="1"/>
  <c r="Q569" i="1"/>
  <c r="R569" i="1" s="1"/>
  <c r="Q575" i="1"/>
  <c r="R575" i="1" s="1"/>
  <c r="Q574" i="1"/>
  <c r="R574" i="1" s="1"/>
  <c r="Q573" i="1"/>
  <c r="R573" i="1" s="1"/>
  <c r="Q571" i="1"/>
  <c r="R571" i="1" s="1"/>
  <c r="Q570" i="1"/>
  <c r="R570" i="1" s="1"/>
</calcChain>
</file>

<file path=xl/sharedStrings.xml><?xml version="1.0" encoding="utf-8"?>
<sst xmlns="http://schemas.openxmlformats.org/spreadsheetml/2006/main" count="13182" uniqueCount="2307">
  <si>
    <t>Форма N 5</t>
  </si>
  <si>
    <t>АРХИТЕКТУРНАЯ ЧАСТЬ</t>
  </si>
  <si>
    <t>(наименование стройки)</t>
  </si>
  <si>
    <r>
      <t>ЛОКАЛЬНАЯ РЕСУРСНАЯ ВЕДОМОСТЬ</t>
    </r>
    <r>
      <rPr>
        <sz val="12"/>
        <rFont val="Times New Roman Cyr"/>
        <family val="1"/>
        <charset val="204"/>
      </rPr>
      <t xml:space="preserve">  № </t>
    </r>
  </si>
  <si>
    <t>(локальная ресурсная смета)</t>
  </si>
  <si>
    <t xml:space="preserve">                   </t>
  </si>
  <si>
    <t xml:space="preserve">на </t>
  </si>
  <si>
    <t>(наименование работ и затрат, наименование объекта)</t>
  </si>
  <si>
    <t>Основание: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</si>
  <si>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</si>
  <si>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</si>
  <si>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</si>
  <si>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</si>
  <si>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</si>
  <si>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</si>
  <si>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</si>
  <si>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РАЗДЕЛ 1.БЛОК А</t>
  </si>
  <si>
    <t>РАЗДЕЛ 2.ПРОЕМЫ</t>
  </si>
  <si>
    <t>1</t>
  </si>
  <si>
    <t>Е1001-034-06ДОП. 11 ГОСАРХИТЕКТСТРОЙ РУЗ ПР. № 429 ОТ 15.12.17 Г.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</si>
  <si>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ДВУХСТВОРЧАТЫХ</t>
  </si>
  <si>
    <t>100 М2</t>
  </si>
  <si>
    <t>1.1</t>
  </si>
  <si>
    <t>ЗАТРАТЫ ТРУДА РАБОЧИХ-СТРОИТЕЛЕЙ</t>
  </si>
  <si>
    <t>ЧЕЛ.-Ч</t>
  </si>
  <si>
    <t>1.2</t>
  </si>
  <si>
    <t>2209</t>
  </si>
  <si>
    <t>ШУРУПОВЕРТЫ СТРОИТЕЛЬНО-МОНТАЖНЫЕ</t>
  </si>
  <si>
    <t>МАШ.-Ч</t>
  </si>
  <si>
    <t>1.3</t>
  </si>
  <si>
    <t>2509</t>
  </si>
  <si>
    <t>АВТОМОБИЛИ БОРТОВЫЕ ГРУЗОПОДЪЕМНОСТЬЮ ДО 5 Т</t>
  </si>
  <si>
    <t>1.4</t>
  </si>
  <si>
    <t>2875</t>
  </si>
  <si>
    <t>ПЕРФОРАТОРЫ ЭЛЕКТРИЧЕСКИЕ</t>
  </si>
  <si>
    <t>1.5</t>
  </si>
  <si>
    <t>30884</t>
  </si>
  <si>
    <t>БЛОКИ ОКОННЫЕ ПЛАСТИКОВЫЕ</t>
  </si>
  <si>
    <t>М2</t>
  </si>
  <si>
    <t>1.6</t>
  </si>
  <si>
    <t>80625</t>
  </si>
  <si>
    <t>ПЕНА МОНТАЖНАЯ (ГЕРМЕТИК ПЕНОПОЛИУРЕТАНОВЫЙ ТИПА MAKROFLEKS, SOUDAL) ДЛЯ ГЕРМЕТИЗАЦИИ СТЫКОВ В БАЛЛОНЧИКЕ ЕМКОСТЬЮ 0,75 Л</t>
  </si>
  <si>
    <t>ШТ</t>
  </si>
  <si>
    <t>2</t>
  </si>
  <si>
    <t>Е1001-034-05ДОП. 11 ГОСАРХИТЕКТСТРОЙ РУЗ ПР. № 429 ОТ 15.12.17 Г.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</si>
  <si>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ДВУХСТВОРЧАТЫХ</t>
  </si>
  <si>
    <t>2.1</t>
  </si>
  <si>
    <t>2.2</t>
  </si>
  <si>
    <t>2.3</t>
  </si>
  <si>
    <t>2.4</t>
  </si>
  <si>
    <t>2.5</t>
  </si>
  <si>
    <t>2.6</t>
  </si>
  <si>
    <t>3</t>
  </si>
  <si>
    <t>Е1001-034-03ДОП. 11 ГОСАРХИТЕКТСТРОЙ РУЗ ПР. № 429 ОТ 15.12.17 Г.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</si>
  <si>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</t>
  </si>
  <si>
    <t>3.1</t>
  </si>
  <si>
    <t>3.2</t>
  </si>
  <si>
    <t>3.3</t>
  </si>
  <si>
    <t>3.4</t>
  </si>
  <si>
    <t>3.5</t>
  </si>
  <si>
    <t>4</t>
  </si>
  <si>
    <t>Е1001-035-01ДОП. 11 ГОСАРХИТЕКТСТРОЙ РУЗ ПР. № 429 ОТ 15.12.17 Г.</t>
  </si>
  <si>
    <t>УСТАНОВКА ПОДОКОННЫХ ДОСОК ИЗ ПВХ В КАМЕННЫХ СТЕНАХ ТОЛЩИНОЙ ДО 0,51 М.</t>
  </si>
  <si>
    <t>100 М</t>
  </si>
  <si>
    <t>4.1</t>
  </si>
  <si>
    <t>4.2</t>
  </si>
  <si>
    <t>4.3</t>
  </si>
  <si>
    <t>98988</t>
  </si>
  <si>
    <t>ДОСКИ ПОДОКОННЫЕ ИЗ ПВХ И МДФ</t>
  </si>
  <si>
    <t>М</t>
  </si>
  <si>
    <t>5</t>
  </si>
  <si>
    <t>Е1001-037-01ДОП. 11 ГОСАРХИТЕКТСТРОЙ РУЗ ПР. № 429 ОТ 15.12.17 Г.</t>
  </si>
  <si>
    <t>УСТАНОВКА БЛОКОВ ДЕРЕВО АЛЮМИНИЕВЫХ, АЛЮМИНИЕВЫХ, МЕТАЛЛОПЛАСТИКОВЫХ В НАРУЖНЫХ И ВНУТРЕННИХ ДВЕРНЫХ ПРОЕМАХ: В КАМЕННЫХ СТЕНАХ ПЛОЩАДЬЮ ПРОЕМА ДО 3 М2</t>
  </si>
  <si>
    <t>5.1</t>
  </si>
  <si>
    <t>5.2</t>
  </si>
  <si>
    <t>5.3</t>
  </si>
  <si>
    <t>5.4</t>
  </si>
  <si>
    <t>5.5</t>
  </si>
  <si>
    <t>43328</t>
  </si>
  <si>
    <t>БЛОКИ ДВЕРНЫЕ ИЗ ДЕРЕВО АЛЮМИНИЯ, АЛЮМИНИЯ, МЕТАЛЛОПЛАСТИКА</t>
  </si>
  <si>
    <t>6</t>
  </si>
  <si>
    <t>Е1001-047-02 ДОП. 4</t>
  </si>
  <si>
    <t>УСТАНОВКА БЛОКОВ ИЗ ПХВ В НАРУЖНЫХ И ВНУТРЕННИХ ДВЕРНЫХ ПРОЕМАХ В КАМЕННЫХ СТЕНАХ ПЛОЩАДЬЮ ПРОЕМА БОЛЕЕ 3 М2</t>
  </si>
  <si>
    <t>6.1</t>
  </si>
  <si>
    <t>6.2</t>
  </si>
  <si>
    <t>6.3</t>
  </si>
  <si>
    <t>6.4</t>
  </si>
  <si>
    <t>30883</t>
  </si>
  <si>
    <t>БЛОКИ ДВЕРНЫЕ ВХОДНЫЕ ПЛАСТИКОВЫЕ</t>
  </si>
  <si>
    <t>6.5</t>
  </si>
  <si>
    <t>7</t>
  </si>
  <si>
    <t>Е0904-014-01 ДОП. 4</t>
  </si>
  <si>
    <t>УСТАНОВКА МЕТАЛЛИЧЕСКИХ ДВЕРЕЙ С ПОДГОТОВКОЙ ПРОЕМА И УСТАНОВКОЙ НАКЛАДНЫХ И ЗАКЛАДНЫХ ДЕТАЛЕЙ ПЛОЩАДЬЮ ДВЕРНОГО ПРОЕМА: ДО 2,5 М2</t>
  </si>
  <si>
    <t>7.1</t>
  </si>
  <si>
    <t>7.2</t>
  </si>
  <si>
    <t>1147</t>
  </si>
  <si>
    <t>МАШИНЫ ШЛИФОВАЛЬНЫЕ ЭЛЕКТРИЧЕСКИЕ</t>
  </si>
  <si>
    <t>7.3</t>
  </si>
  <si>
    <t>2016</t>
  </si>
  <si>
    <t>УСТАНОВКИ ДЛЯ СВАРКИ РУЧНОЙ ДУГОВОЙ (ПОСТОЯННОГО ТОКА)</t>
  </si>
  <si>
    <t>7.4</t>
  </si>
  <si>
    <t>7.5</t>
  </si>
  <si>
    <t>3325</t>
  </si>
  <si>
    <t>ДРЕЛЬ-ПЕРФОРАТОР ЭЛЕКТРИЧЕСКАЯ</t>
  </si>
  <si>
    <t>7.6</t>
  </si>
  <si>
    <t>35312</t>
  </si>
  <si>
    <t>ЭЛЕКТРОДЫ ДИАМЕТРОМ 4 ММ Э46</t>
  </si>
  <si>
    <t>Т</t>
  </si>
  <si>
    <t>7.7</t>
  </si>
  <si>
    <t>44109</t>
  </si>
  <si>
    <t>ДЕТАЛИ ЗАКЛАДНЫЕ И НАКЛАДНЫЕ</t>
  </si>
  <si>
    <t>7.8</t>
  </si>
  <si>
    <t>7.9</t>
  </si>
  <si>
    <t>87882</t>
  </si>
  <si>
    <t>БЛОКИ ДВЕРНЫЕ МЕТАЛЛИЧЕСКИЕ</t>
  </si>
  <si>
    <t>8</t>
  </si>
  <si>
    <t>Е1001-039-03</t>
  </si>
  <si>
    <t>УСТАНОВКА БЛОКОВ В НАРУЖНЫХ И ВНУТРЕННИХ ДВЕРНЫХ ПРОЕМАХ В ПЕРЕГОРОДКАХ И ДЕРЕВЯННЫХ НЕРУБЛЕНЫХ СТЕНАХ ПЛОЩАДЬЮ ПРОЕМА ДО 3 М2</t>
  </si>
  <si>
    <t>8.1</t>
  </si>
  <si>
    <t>8.2</t>
  </si>
  <si>
    <t>8.3</t>
  </si>
  <si>
    <t>29917</t>
  </si>
  <si>
    <t>БЛОКИ ДВЕРНЫЕ ДЕРЕВЯННЫЕ ИЗ МДФ</t>
  </si>
  <si>
    <t>8.4</t>
  </si>
  <si>
    <t>30407</t>
  </si>
  <si>
    <t>ГВОЗДИ СТРОИТЕЛЬНЫЕ</t>
  </si>
  <si>
    <t>8.5</t>
  </si>
  <si>
    <t>44290</t>
  </si>
  <si>
    <t>НАЛИЧНИКИ ПО ПРОЕКТУ</t>
  </si>
  <si>
    <t>9</t>
  </si>
  <si>
    <t>Е1001-048-01 ДОП. 6</t>
  </si>
  <si>
    <t>УСТАНОВКА ДВЕРНЫХ ЗАМКОВ</t>
  </si>
  <si>
    <t>100 ШТ</t>
  </si>
  <si>
    <t>9.1</t>
  </si>
  <si>
    <t>9.2</t>
  </si>
  <si>
    <t>9.3</t>
  </si>
  <si>
    <t>9.4</t>
  </si>
  <si>
    <t>31281</t>
  </si>
  <si>
    <t>ЗАМКИ ДВЕРНЫЕ ВРЕЗНЫЕ С РУЧКОЙ</t>
  </si>
  <si>
    <t>КОМПЛЕКТ</t>
  </si>
  <si>
    <t>10</t>
  </si>
  <si>
    <t>Е1001-039-05</t>
  </si>
  <si>
    <t>УСТАНОВКА ЛЮКОВ В ПЕРЕКРЫТИЯХ ПЛОЩАДЬЮ ПРОЕМА ДО 2 М2</t>
  </si>
  <si>
    <t>10.1</t>
  </si>
  <si>
    <t>10.2</t>
  </si>
  <si>
    <t>10.3</t>
  </si>
  <si>
    <t>10.4</t>
  </si>
  <si>
    <t>63943</t>
  </si>
  <si>
    <t>ЛАЗЫ И ЛЮКИ</t>
  </si>
  <si>
    <t>11</t>
  </si>
  <si>
    <t>Е1201-008-02 МИНСТРОЙ РУЗ 05.01.21 N 3</t>
  </si>
  <si>
    <t>УСТРОЙСТВО ОБДЕЛОК НА ФАСАДАХ [НАРУЖНЫЕ ПОДОКОННИКИ, ПОЯСКИ, БАЛКОНЫ И ДР.] БЕЗ ВОДОСТОЧНЫХ ТРУБ</t>
  </si>
  <si>
    <t>11.1</t>
  </si>
  <si>
    <t>11.2</t>
  </si>
  <si>
    <t>11.3</t>
  </si>
  <si>
    <t>30405</t>
  </si>
  <si>
    <t>ГВОЗДИ ТОЛЕВЫЕ КРУГЛЫЕ 3,0Х40 ММ</t>
  </si>
  <si>
    <t>11.4</t>
  </si>
  <si>
    <t>33732</t>
  </si>
  <si>
    <t>СТАЛЬ ЛИСТОВАЯ ОЦИНКОВАННАЯ ТОЛЩИНОЙ ЛИСТА 0,7 ММ</t>
  </si>
  <si>
    <t>РАЗДЕЛ 3.МЕТАЛЛИЧЕСКИЙ ПРОДУХ</t>
  </si>
  <si>
    <t>12</t>
  </si>
  <si>
    <t>Е0903-046-03 ДОП. 11 ГОСАРХИТЕКТСТРОЙ РУЗ ПР. № 429 ОТ 15.12.17 Г.</t>
  </si>
  <si>
    <t>МОНТАЖ ПЕРЕГОРОДОК СТАЛЬНЫХ, КОНСОЛЬНЫХ, СЕТЧАТЫХ</t>
  </si>
  <si>
    <t>12.1</t>
  </si>
  <si>
    <t>12.2</t>
  </si>
  <si>
    <t>12.3</t>
  </si>
  <si>
    <t>5628</t>
  </si>
  <si>
    <t>АНКЕРНЫЕ ДЕТАЛИ ИЗ ПРЯМЫХ ИЛИ ГНУТЫХ КРУГЛЫХ СТЕРЖНЕЙ С РЕЗЬБОЙ В КОМПЛЕКТЕ С ШАЙБАМИ И ГАЙКАМИ ИЛИ БЕЗ НИХ), ПОСТАВЛЯЕМЫЕ ОТДЕЛЬНО</t>
  </si>
  <si>
    <t>13</t>
  </si>
  <si>
    <t>СЦЕНА2025-1</t>
  </si>
  <si>
    <t>СТАЛЬНОЙ УГОЛОК 25Х4ММ</t>
  </si>
  <si>
    <t>14</t>
  </si>
  <si>
    <t>СЦЕНА2025-2</t>
  </si>
  <si>
    <t>СЕТКА С ЯЧЕЙКОЙ 20Х20</t>
  </si>
  <si>
    <t>РАЗДЕЛ 4.ВИТРАЖ</t>
  </si>
  <si>
    <t>15</t>
  </si>
  <si>
    <t>Е1001-036-04ДОП. 11 ГОСАРХИТЕКТСТРОЙ РУЗ ПР. № 429 ОТ 15.12.17 Г.</t>
  </si>
  <si>
    <t>УСТАНОВКА В ЖИЛЫХ И ОБЩЕСТВЕННЫХ ЗДАНИЯХ ОКОННЫХ БЛОКОВ ИЗ ДЕРЕВО АЛЮМИНИЯ, АЛЮМИНИЯ, МЕТАЛЛОПЛАСТИКА В КАМЕННЫХ СТЕНАХ, ОТКРЫВАЮЩИМИСЯ (ПОВОРОТНЫХ, ОТКИДНЫХ, ПОВОРОТНО-ОТКИДНЫХ): С ПЛОЩАДЬЮ ПРОЕМА ДО 10 М2</t>
  </si>
  <si>
    <t>15.1</t>
  </si>
  <si>
    <t>15.2</t>
  </si>
  <si>
    <t>15.3</t>
  </si>
  <si>
    <t>15.4</t>
  </si>
  <si>
    <t>15.5</t>
  </si>
  <si>
    <t>30593</t>
  </si>
  <si>
    <t>ВИТРАЖИ ПРОТИВОПОЖАРНЫЕ ПО МЕТАЛЛИЧЕСКОМУ КАРКАСУ</t>
  </si>
  <si>
    <t>РАЗДЕЛ 5.ВНУТРЕННЯЯ ОТДЕЛКА</t>
  </si>
  <si>
    <t>РАЗДЕЛ 6.ТЕХПОДПОЛЬЯ</t>
  </si>
  <si>
    <t>16</t>
  </si>
  <si>
    <t>Е1504-002-01 ДОП. 8</t>
  </si>
  <si>
    <t>ИЗВЕСТКОВАЯ ОКРАСКА ВОДНЫМИ СОСТАВАМИ ВНУТРИ ПОМЕЩЕНИЙ ПО ШТУКАТУРКЕ</t>
  </si>
  <si>
    <t>16.1</t>
  </si>
  <si>
    <t>16.2</t>
  </si>
  <si>
    <t>2499</t>
  </si>
  <si>
    <t>16.3</t>
  </si>
  <si>
    <t>30652</t>
  </si>
  <si>
    <t>ИЗВЕСТЬ СТРОИТЕЛЬНАЯ НЕГАШЕНАЯ КОМОВАЯ, СОРТ 1</t>
  </si>
  <si>
    <t>16.4</t>
  </si>
  <si>
    <t>31065</t>
  </si>
  <si>
    <t>КРАСКИ СУХИЕ ДЛЯ ВНУТРЕННИХ РАБОТ</t>
  </si>
  <si>
    <t>16.5</t>
  </si>
  <si>
    <t>31710</t>
  </si>
  <si>
    <t>ШПАТЛЕВКА КЛЕЕВАЯ</t>
  </si>
  <si>
    <t>16.6</t>
  </si>
  <si>
    <t>35538</t>
  </si>
  <si>
    <t>ШКУРКА ШЛИФОВАЛЬНАЯ ДВУХСЛОЙНАЯ С ЗЕРНИСТОСТЬЮ 40/25</t>
  </si>
  <si>
    <t>РАЗДЕЛ 7.ВНУТРЕННЯЯ ОТДЕЛКА</t>
  </si>
  <si>
    <t>РАЗДЕЛ 8.ПЕРВЫЙ ЭТАЖ</t>
  </si>
  <si>
    <t>17</t>
  </si>
  <si>
    <t>Е1502-019-08 ДОП. 12 МИНСТРОЙ РУЗ N 519 ОТ 18.11.2019 Г.</t>
  </si>
  <si>
    <t>СПЛОШНОЕ ВЫРАВНИВАНИЕ ПОВЕРХНОСТЕЙ (ОДНОСЛОЙНАЯ ШТУКАТУРКА) ГИПСОВЫМИ СУХИМИ СМЕСЯМИ: ТОЛЩИНОЙ ДО 10 ММ ПОТОЛКОВ</t>
  </si>
  <si>
    <t>17.1</t>
  </si>
  <si>
    <t>17.2</t>
  </si>
  <si>
    <t>521</t>
  </si>
  <si>
    <t>ДРЕЛИ ЭЛЕКТРИЧЕСКИЕ</t>
  </si>
  <si>
    <t>17.3</t>
  </si>
  <si>
    <t>12373</t>
  </si>
  <si>
    <t>СМЕСЬ СУХАЯ ГИПСОВАЯ</t>
  </si>
  <si>
    <t>17.4</t>
  </si>
  <si>
    <t>31434</t>
  </si>
  <si>
    <t>ГРУНТОВКА</t>
  </si>
  <si>
    <t>18</t>
  </si>
  <si>
    <t>Е1502-019-12 ДОП. 12 МИНСТРОЙ РУЗ N 519 ОТ 18.11.2019 Г. К=8</t>
  </si>
  <si>
    <t>ВЫЧИТАЕТСЯ ПОЗИЦИЯ: НА КАЖДЫЙ ММ ИЗМЕНЕНИЯ ТОЛЩИНЫ ИСКЛЮЧАЕТСЯ ПОТОЛКОВ</t>
  </si>
  <si>
    <t>18.1</t>
  </si>
  <si>
    <t>18.2</t>
  </si>
  <si>
    <t>18.3</t>
  </si>
  <si>
    <t>19</t>
  </si>
  <si>
    <t>Е1504-005-06 ДОП. 4</t>
  </si>
  <si>
    <t>ОКРАСКА ПОЛИВИНИЛАЦЕТАТНЫМИ ВОДОЭМУЛЬСИОННЫМИ СОСТАВАМИ УЛУЧШЕННАЯ ПО СБОРНЫМ КОНСТРУКЦИЯМ, ПОДГОТОВЛЕННЫМ ПОД ОКРАСКУ ПОТОЛКОВ</t>
  </si>
  <si>
    <t>19.1</t>
  </si>
  <si>
    <t>19.2</t>
  </si>
  <si>
    <t>19.3</t>
  </si>
  <si>
    <t>31054</t>
  </si>
  <si>
    <t>КРАСКИ ВОДОЭМУЛЬСИОННЫЕ</t>
  </si>
  <si>
    <t>19.4</t>
  </si>
  <si>
    <t>19.5</t>
  </si>
  <si>
    <t>20</t>
  </si>
  <si>
    <t>Е1502-027-01 ДОП. 12 МИНСТРОЙ РУЗ N 519 ОТ 18.11.2019 Г.</t>
  </si>
  <si>
    <t>УЛУЧШЕННАЯ ШТУКАТУРКА ПО КИРПИЧУ И ГАЗОБЕТОНУ СТЕН СУХОЙ СМЕСЬЮ КНАУФ-МП75 ТОЛЩИНОЙ: 10 ММ</t>
  </si>
  <si>
    <t>20.1</t>
  </si>
  <si>
    <t>20.2</t>
  </si>
  <si>
    <t>2518</t>
  </si>
  <si>
    <t>АГРЕГАТЫ СМЕСИТЕЛЬНО-ШТУКАТУРНЫЕ ПЕРЕДВИЖНЫЕ</t>
  </si>
  <si>
    <t>20.3</t>
  </si>
  <si>
    <t>30836</t>
  </si>
  <si>
    <t>СУХАЯ СМЕСЬ КНАУФ-МП75</t>
  </si>
  <si>
    <t>20.4</t>
  </si>
  <si>
    <t>30839</t>
  </si>
  <si>
    <t>ГРУНТОВКА КНАУФ-ГРУНДИРМИТТЕЛЬ</t>
  </si>
  <si>
    <t>КГ</t>
  </si>
  <si>
    <t>20.5</t>
  </si>
  <si>
    <t>30870</t>
  </si>
  <si>
    <t>ПРОФИЛЬ МАЯЧКОВЫЙ</t>
  </si>
  <si>
    <t>20.6</t>
  </si>
  <si>
    <t>30871</t>
  </si>
  <si>
    <t>УГОЛОК МАЯЧКОВЫЙ</t>
  </si>
  <si>
    <t>21</t>
  </si>
  <si>
    <t>Е1501-019-05</t>
  </si>
  <si>
    <t>ГЛАДКАЯ ОБЛИЦОВКА СТЕН, СТОЛБОВ, ПИЛЯСТР И ОТКОСОВ [БЕЗ КАРНИЗНЫХ, ПЛИНТУСНЫХ И УГЛОВЫХ ПЛИТОК] БЕЗ УСТАНОВКИ ПЛИТОК ТУАЛЕТНОГО ГАРНИТУРА НА КЛЕЕ ИЗ СУХИХ СМЕСЕЙ ПО КИРПИЧУ И БЕТОНУ</t>
  </si>
  <si>
    <t>21.1</t>
  </si>
  <si>
    <t>21.2</t>
  </si>
  <si>
    <t>112</t>
  </si>
  <si>
    <t>АВТОПОГРУЗЧИКИ 5 Т</t>
  </si>
  <si>
    <t>21.3</t>
  </si>
  <si>
    <t>31719</t>
  </si>
  <si>
    <t>КЛЕЙ ДЛЯ ОБЛИЦОВОЧНЫХ РАБОТ (СУХАЯ СМЕСЬ)</t>
  </si>
  <si>
    <t>21.4</t>
  </si>
  <si>
    <t>44356</t>
  </si>
  <si>
    <t>ПЛИТКИ РЯДОВЫЕ</t>
  </si>
  <si>
    <t>21.5</t>
  </si>
  <si>
    <t>45037</t>
  </si>
  <si>
    <t>СМЕСЬ СУХАЯ ДЛЯ ЗАДЕЛКИ ШВОВ</t>
  </si>
  <si>
    <t>22</t>
  </si>
  <si>
    <t>Е1504-005-05 ДОП. 4</t>
  </si>
  <si>
    <t>ОКРАСКА ПОЛИВИНИЛАЦЕТАТНЫМИ ВОДОЭМУЛЬСИОННЫМИ СОСТАВАМИ УЛУЧШЕННАЯ ПО СБОРНЫМ КОНСТРУКЦИЯМ, ПОДГОТОВЛЕННЫМ ПОД ОКРАСКУ СТЕН</t>
  </si>
  <si>
    <t>22.1</t>
  </si>
  <si>
    <t>22.2</t>
  </si>
  <si>
    <t>22.3</t>
  </si>
  <si>
    <t>22.4</t>
  </si>
  <si>
    <t>22.5</t>
  </si>
  <si>
    <t>РАЗДЕЛ 9.ВНУТРЕННЯЯ ОТДЕЛКА</t>
  </si>
  <si>
    <t>РАЗДЕЛ 10.ТИПОВЫЕ ЭТАЖИ</t>
  </si>
  <si>
    <t>23</t>
  </si>
  <si>
    <t>23.1</t>
  </si>
  <si>
    <t>23.2</t>
  </si>
  <si>
    <t>23.3</t>
  </si>
  <si>
    <t>23.4</t>
  </si>
  <si>
    <t>24</t>
  </si>
  <si>
    <t>24.1</t>
  </si>
  <si>
    <t>24.2</t>
  </si>
  <si>
    <t>24.3</t>
  </si>
  <si>
    <t>25</t>
  </si>
  <si>
    <t>25.1</t>
  </si>
  <si>
    <t>25.2</t>
  </si>
  <si>
    <t>25.3</t>
  </si>
  <si>
    <t>25.4</t>
  </si>
  <si>
    <t>25.5</t>
  </si>
  <si>
    <t>26</t>
  </si>
  <si>
    <t>Е1507-016-01 ДОП. 12 МИНСТРОЙ РУЗ N 519 ОТ 18.11.2019 Г.</t>
  </si>
  <si>
    <t>ОБЛИЦОВКА ГИПСОВЫМИ И ГИПСОВОЛОКНИСТЫМИ ЛИСТАМИ СТЕН ПРИ ОТДЕЛКЕ ПОД ОКРАСКУ И ОКЛЕЙКУ ОБОЯМИ: С КРЕПЛЕНИЕМ НА ПРИСТЕННЫЙ МЕТАЛЛИЧЕСКИЙ КАРКАС С ЕГО УСТРОЙСТВОМ</t>
  </si>
  <si>
    <t>26.1</t>
  </si>
  <si>
    <t>26.2</t>
  </si>
  <si>
    <t>26.3</t>
  </si>
  <si>
    <t>26.4</t>
  </si>
  <si>
    <t>26.5</t>
  </si>
  <si>
    <t>30825</t>
  </si>
  <si>
    <t>КРЕПЕЖНЫЕ ИЗДЕЛИЯ ДЛЯ МОНТАЖА ГИПСОКАРТОНА: ДЮБЕЛИ ПЛАСТМАССОВЫЕ</t>
  </si>
  <si>
    <t>26.6</t>
  </si>
  <si>
    <t>30826</t>
  </si>
  <si>
    <t>КРЕПЕЖНЫЕ ИЗДЕЛИЯ ДЛЯ МОНТАЖА ГИПСОКАРТОНА: ШУРУПЫ МЕТАЛЛ-МЕТАЛЛ ОСТРОКОНЕЧНЫЕ 3,5X9,5</t>
  </si>
  <si>
    <t>1000 ШТ</t>
  </si>
  <si>
    <t>26.7</t>
  </si>
  <si>
    <t>30838</t>
  </si>
  <si>
    <t>ШПАТЛЕВКА "ФУГАГИПС" "КНАУФ"</t>
  </si>
  <si>
    <t>26.8</t>
  </si>
  <si>
    <t>30848</t>
  </si>
  <si>
    <t>ЛИСТЫ ГИПСОКАРТОННЫЕ СТАНДАРТНЫЕ, КНАУФ, ТОЛЩИНОЙ 8-10 ММ</t>
  </si>
  <si>
    <t>26.9</t>
  </si>
  <si>
    <t>30850</t>
  </si>
  <si>
    <t>ЛЕНТА ДЛЯ ЗАДЕЛКИ ШВОВ ГКЛ, САМОКЛЕЮЩАЯСЯ</t>
  </si>
  <si>
    <t>26.10</t>
  </si>
  <si>
    <t>30873</t>
  </si>
  <si>
    <t>КОМПЛЕКТУЮЩИЕ ДЛЯ МОНТАЖА ГИПСОКАРТОНА: ПРОФИЛЬ НАПРАВЛЯЮЩИЙ 50X40X0,55</t>
  </si>
  <si>
    <t>26.11</t>
  </si>
  <si>
    <t>30874</t>
  </si>
  <si>
    <t>КОМПЛЕКТУЮЩИЕ ДЛЯ МОНТАЖА ГИПСОКАРТОНА: ПРОФИЛЬ ПОТОЛОЧНЫЙ 60X27</t>
  </si>
  <si>
    <t>26.12</t>
  </si>
  <si>
    <t>30876</t>
  </si>
  <si>
    <t>КОМПЛЕКТУЮЩИЕ ДЛЯ МОНТАЖА ГИПСОКАРТОНА: ПОДВЕС ПРЯМОЙ 60X27</t>
  </si>
  <si>
    <t>26.13</t>
  </si>
  <si>
    <t>76848</t>
  </si>
  <si>
    <t>КРЕПЕЖНЫЕ ИЗДЕЛИЯ ДЛЯ МОНТАЖА ГИПСОКАРТОНА: ШУРУПЫ ГИПСОКАРТОН-МЕТАЛЛ 3,5Х35</t>
  </si>
  <si>
    <t>27</t>
  </si>
  <si>
    <t>СЦЕНА2030-1</t>
  </si>
  <si>
    <t>ЗВУКОИЗАЛИОЦИННОЯ МИНЕРАЛЬНОВАТНЫМИ ПЛИТАМИ ТОЛЩ.50 ММ</t>
  </si>
  <si>
    <t>28</t>
  </si>
  <si>
    <t>Е1502-019-07 ДОП. 12 МИНСТРОЙ РУЗ N 519 ОТ 18.11.2019 Г.</t>
  </si>
  <si>
    <t>СПЛОШНОЕ ВЫРАВНИВАНИЕ ПОВЕРХНОСТЕЙ (ОДНОСЛОЙНАЯ ШТУКАТУРКА) ГИПСОВЫМИ СУХИМИ СМЕСЯМИ: ТОЛЩИНОЙ ДО 10 ММ СТЕН</t>
  </si>
  <si>
    <t>28.1</t>
  </si>
  <si>
    <t>28.2</t>
  </si>
  <si>
    <t>28.3</t>
  </si>
  <si>
    <t>28.4</t>
  </si>
  <si>
    <t>29</t>
  </si>
  <si>
    <t>Е1502-019-11 ДОП. 12 МИНСТРОЙ РУЗ N 519 ОТ 18.11.2019 Г. К=8</t>
  </si>
  <si>
    <t>ВЫЧИТАЕТСЯ ПОЗИЦИЯ: НА КАЖДЫЙ ММ ИЗМЕНЕНИЯ ТОЛЩИНЫ ИСКЛЮЧАЕТСЯ СТЕН</t>
  </si>
  <si>
    <t>29.1</t>
  </si>
  <si>
    <t>29.2</t>
  </si>
  <si>
    <t>29.3</t>
  </si>
  <si>
    <t>30</t>
  </si>
  <si>
    <t>30.1</t>
  </si>
  <si>
    <t>30.2</t>
  </si>
  <si>
    <t>30.3</t>
  </si>
  <si>
    <t>30.4</t>
  </si>
  <si>
    <t>30.5</t>
  </si>
  <si>
    <t>30.6</t>
  </si>
  <si>
    <t>31</t>
  </si>
  <si>
    <t>31.1</t>
  </si>
  <si>
    <t>31.2</t>
  </si>
  <si>
    <t>31.3</t>
  </si>
  <si>
    <t>31.4</t>
  </si>
  <si>
    <t>31.5</t>
  </si>
  <si>
    <t>32</t>
  </si>
  <si>
    <t>32.1</t>
  </si>
  <si>
    <t>32.2</t>
  </si>
  <si>
    <t>32.3</t>
  </si>
  <si>
    <t>32.4</t>
  </si>
  <si>
    <t>32.5</t>
  </si>
  <si>
    <t>РАЗДЕЛ 11.ВНУТРЕННЯЯ ОТДЕЛКА</t>
  </si>
  <si>
    <t>РАЗДЕЛ 12.ЛЕСТНИЧНАЯ КЛЕТКА</t>
  </si>
  <si>
    <t>33</t>
  </si>
  <si>
    <t>33.1</t>
  </si>
  <si>
    <t>33.2</t>
  </si>
  <si>
    <t>33.3</t>
  </si>
  <si>
    <t>33.4</t>
  </si>
  <si>
    <t>34</t>
  </si>
  <si>
    <t>34.1</t>
  </si>
  <si>
    <t>34.2</t>
  </si>
  <si>
    <t>34.3</t>
  </si>
  <si>
    <t>35</t>
  </si>
  <si>
    <t>35.1</t>
  </si>
  <si>
    <t>35.2</t>
  </si>
  <si>
    <t>35.3</t>
  </si>
  <si>
    <t>35.4</t>
  </si>
  <si>
    <t>35.5</t>
  </si>
  <si>
    <t>36</t>
  </si>
  <si>
    <t>36.1</t>
  </si>
  <si>
    <t>36.2</t>
  </si>
  <si>
    <t>36.3</t>
  </si>
  <si>
    <t>36.4</t>
  </si>
  <si>
    <t>36.5</t>
  </si>
  <si>
    <t>36.6</t>
  </si>
  <si>
    <t>37</t>
  </si>
  <si>
    <t>37.1</t>
  </si>
  <si>
    <t>37.2</t>
  </si>
  <si>
    <t>37.3</t>
  </si>
  <si>
    <t>37.4</t>
  </si>
  <si>
    <t>37.5</t>
  </si>
  <si>
    <t>РАЗДЕЛ 13.ВНУТРЕННЯЯ ОТДЕЛКА ОТКОСЫ</t>
  </si>
  <si>
    <t>38</t>
  </si>
  <si>
    <t>38.1</t>
  </si>
  <si>
    <t>38.2</t>
  </si>
  <si>
    <t>38.3</t>
  </si>
  <si>
    <t>38.4</t>
  </si>
  <si>
    <t>38.5</t>
  </si>
  <si>
    <t>38.6</t>
  </si>
  <si>
    <t>39</t>
  </si>
  <si>
    <t>39.1</t>
  </si>
  <si>
    <t>39.2</t>
  </si>
  <si>
    <t>39.3</t>
  </si>
  <si>
    <t>39.4</t>
  </si>
  <si>
    <t>39.5</t>
  </si>
  <si>
    <t>РАЗДЕЛ 14.ТИП ПОЛА "Б"</t>
  </si>
  <si>
    <t>40</t>
  </si>
  <si>
    <t>Е1101-011-03 МИНСТРОЙ РУЗ 05.01.21 N 9</t>
  </si>
  <si>
    <t>УСТРОЙСТВО СТЯЖЕК БЕТОННЫХ ТОЛЩИНОЙ 20 ММ</t>
  </si>
  <si>
    <t>40.1</t>
  </si>
  <si>
    <t>40.2</t>
  </si>
  <si>
    <t>6311</t>
  </si>
  <si>
    <t>БЕТОН ТЯЖЕЛЫЙ КЛАССА В7,5 /М-100/ ФРАКЦИИ 5-10 ММ</t>
  </si>
  <si>
    <t>М3</t>
  </si>
  <si>
    <t>РАЗДЕЛ 15.ПОЛЫ ПЕРВОГО ЭТАЖА</t>
  </si>
  <si>
    <t>РАЗДЕЛ 16.ТИП ПОЛА "Л"</t>
  </si>
  <si>
    <t>41</t>
  </si>
  <si>
    <t>Е2601-041-05 МИНСТРОЙИЖКХ РУЗ НОМ. 42 03.03.23 Г.</t>
  </si>
  <si>
    <t>ИЗОЛЯЦИЯ ИЗДЕЛИЯМИ ИЗ ПЕНОПЛАСТА НАСУХО ПОКРЫТИЙ И ПЕРЕКРЫТИЙ</t>
  </si>
  <si>
    <t>1 М3 ИЗОЛЯЦИИ</t>
  </si>
  <si>
    <t>41.1</t>
  </si>
  <si>
    <t>41.2</t>
  </si>
  <si>
    <t>42</t>
  </si>
  <si>
    <t>СЦЕНА2030-2</t>
  </si>
  <si>
    <t>ЭКСТРУДИРОВАННОГО ПЕНОПОЛИТЕРОЛА ТОЛЩ.20 ММ</t>
  </si>
  <si>
    <t>43</t>
  </si>
  <si>
    <t>Е0601-015-10</t>
  </si>
  <si>
    <t>АРМИРОВАНИЕ ПОДСТИЛАЮЩИХ СЛОЕВ И НАБЕТОНОК</t>
  </si>
  <si>
    <t>43.1</t>
  </si>
  <si>
    <t>43.2</t>
  </si>
  <si>
    <t>43.3</t>
  </si>
  <si>
    <t>4354</t>
  </si>
  <si>
    <t>АРМАТУРА ВР-1 ДИАМЕТРОМ 5 ММ</t>
  </si>
  <si>
    <t>43.4</t>
  </si>
  <si>
    <t>32543</t>
  </si>
  <si>
    <t>ПРОВОЛОКА СВЕТЛАЯ ДИАМЕТРОМ 1,1 ММ</t>
  </si>
  <si>
    <t>44</t>
  </si>
  <si>
    <t>Е1101-011-01 МИНСТРОЙ РУЗ 05.01.21 N 9</t>
  </si>
  <si>
    <t>УСТРОЙСТВО СТЯЖЕК ЦЕМЕНТНЫХ ТОЛЩИНОЙ 20 ММ</t>
  </si>
  <si>
    <t>44.1</t>
  </si>
  <si>
    <t>44.2</t>
  </si>
  <si>
    <t>12182</t>
  </si>
  <si>
    <t>РАСТВОР ЦЕМЕНТНО-ПЕСЧАНЫЙ М-150</t>
  </si>
  <si>
    <t>45</t>
  </si>
  <si>
    <t>Е1101-011-02 МИНСТРОЙ РУЗ 05.01.21 N 9 К=8</t>
  </si>
  <si>
    <t>УСТРОЙСТВО СТЯЖЕК ЦЕМЕНТНЫХ НА КАЖДЫЕ 5 ММ ИЗМЕНЕНИЯ ТОЛЩИНЫ СТЯЖКИ ДОБАВЛЯТЬ К НОРМЕ 11-01-011-01</t>
  </si>
  <si>
    <t>45.1</t>
  </si>
  <si>
    <t>45.2</t>
  </si>
  <si>
    <t>46</t>
  </si>
  <si>
    <t>Е1101-034-08 МИНСТРОЙ РУЗ 05.01.21 N 9</t>
  </si>
  <si>
    <t>УКЛАДКА ЛАМИНИРОВАННОГО НАПОЛЬНОГО ПОКРЫТИЯ</t>
  </si>
  <si>
    <t>46.1</t>
  </si>
  <si>
    <t>46.2</t>
  </si>
  <si>
    <t>46.3</t>
  </si>
  <si>
    <t>83171</t>
  </si>
  <si>
    <t>ЗВУКОИЗОЛЯЦИОННАЯ ПОДЛОЖКА ПОД ПАРКЕТ 2 ММ</t>
  </si>
  <si>
    <t>46.4</t>
  </si>
  <si>
    <t>85918</t>
  </si>
  <si>
    <t>ЛАМИНИРОВАННОЕ НАПОЛЬНОЕ ПОКРЫТИЕ ТОЛЩИНОЙ 8 ММ</t>
  </si>
  <si>
    <t>РАЗДЕЛ 17.ТИП ПОЛА "К"</t>
  </si>
  <si>
    <t>47</t>
  </si>
  <si>
    <t>Е1101-047-01 МИНСТРОЙ РУЗ 05.01.21 N 9</t>
  </si>
  <si>
    <t>УСТРОЙСТВО ОКЛЕЕЧНОЙ ГИДРОИЗОЛЯЦИИ БИТУМНО-ПОЛИМЕРНЫМ МАТЕРИАЛАМИ ПЕРВЫЙ СЛОЙ ПОДКЛАДОЧНЫЙ</t>
  </si>
  <si>
    <t>47.1</t>
  </si>
  <si>
    <t>47.2</t>
  </si>
  <si>
    <t>429</t>
  </si>
  <si>
    <t>ГОРЕЛКИ ГАЗОПЛАМЕННЫЕ</t>
  </si>
  <si>
    <t>47.3</t>
  </si>
  <si>
    <t>913</t>
  </si>
  <si>
    <t>КОТЛЫ БИТУМНЫЕ ПЕРЕДВИЖНЫЕ 400 Л</t>
  </si>
  <si>
    <t>47.4</t>
  </si>
  <si>
    <t>47.5</t>
  </si>
  <si>
    <t>31934</t>
  </si>
  <si>
    <t>БИТУМНО-ПОЛИМЕРНЫЙ РУЛОННЫЙ МАТЕРИАЛ (ПО ПРОЕКТУ)</t>
  </si>
  <si>
    <t>47.6</t>
  </si>
  <si>
    <t>32136</t>
  </si>
  <si>
    <t>МАСТИКА БИТУМНО-ПОЛИМЕРНАЯ</t>
  </si>
  <si>
    <t>47.7</t>
  </si>
  <si>
    <t>34340</t>
  </si>
  <si>
    <t>ПРОПАН-БУТАН, СМЕСЬ ТЕХНИЧЕСКАЯ</t>
  </si>
  <si>
    <t>48</t>
  </si>
  <si>
    <t>Е1101-047-02 МИНСТРОЙ РУЗ 05.01.21 N 9</t>
  </si>
  <si>
    <t>УСТРОЙСТВО ОКЛЕЕЧНОЙ ГИДРОИЗОЛЯЦИИ БИТУМНО-ПОЛИМЕРНЫМ МАТЕРИАЛАМИ, ВТОРОЙ СЛОЙ НАКРЫВОЧНЫЙ</t>
  </si>
  <si>
    <t>48.1</t>
  </si>
  <si>
    <t>48.2</t>
  </si>
  <si>
    <t>48.3</t>
  </si>
  <si>
    <t>48.4</t>
  </si>
  <si>
    <t>48.5</t>
  </si>
  <si>
    <t>48.6</t>
  </si>
  <si>
    <t>49</t>
  </si>
  <si>
    <t>49.1</t>
  </si>
  <si>
    <t>49.2</t>
  </si>
  <si>
    <t>50</t>
  </si>
  <si>
    <t>СЦЕНА2030-3</t>
  </si>
  <si>
    <t>51</t>
  </si>
  <si>
    <t>51.1</t>
  </si>
  <si>
    <t>51.2</t>
  </si>
  <si>
    <t>51.3</t>
  </si>
  <si>
    <t>51.4</t>
  </si>
  <si>
    <t>52</t>
  </si>
  <si>
    <t>52.1</t>
  </si>
  <si>
    <t>52.2</t>
  </si>
  <si>
    <t>53</t>
  </si>
  <si>
    <t>Е1101-011-02 МИНСТРОЙ РУЗ 05.01.21 N 9 К=6</t>
  </si>
  <si>
    <t>53.1</t>
  </si>
  <si>
    <t>53.2</t>
  </si>
  <si>
    <t>54</t>
  </si>
  <si>
    <t>Е1101-027-06 МИНСТРОЙ РУЗ 05.01.21 N 9</t>
  </si>
  <si>
    <t>УСТРОЙСТВО ПОКРЫТИЙ НА РАСТВОРЕ ИЗ СУХОЙ СМЕСИ С ПРИГОТОВЛЕНИЕМ РАСТВОРА В ПОСТРОЕЧНЫХ УСЛОВИЯХ ИЗ ГЛАДКИХ НЕГЛАЗУРИРОВАННЫХ КЕРАМИЧЕСКИХ ПЛИТОК ДЛЯ ПОЛОВ ОДНОЦВЕТНЫХ</t>
  </si>
  <si>
    <t>54.1</t>
  </si>
  <si>
    <t>54.2</t>
  </si>
  <si>
    <t>54.3</t>
  </si>
  <si>
    <t>3021</t>
  </si>
  <si>
    <t>РАСТВОРОСМЕСИТЕЛИ ПЕРЕДВИЖНЫЕ 65 Л</t>
  </si>
  <si>
    <t>54.4</t>
  </si>
  <si>
    <t>30732</t>
  </si>
  <si>
    <t>ПЛИТКИ КЕРАМИЧЕСКИЕ ДЛЯ ПОЛОВ ГЛАДКИЕ НЕГЛАЗУРОВАННЫЕ ОДНОЦВЕТНЫЕ С КРАСИТЕЛЕМ КВАДРАТНЫЕ И ПРЯМОУГОЛЬНЫЕ 8 ММ</t>
  </si>
  <si>
    <t>54.5</t>
  </si>
  <si>
    <t>31102</t>
  </si>
  <si>
    <t>КЛЕЙ ПЛИТОЧНЫЙ "СТАРАТЕЛЬ-СТАНДАРТ"</t>
  </si>
  <si>
    <t>54.6</t>
  </si>
  <si>
    <t>58180</t>
  </si>
  <si>
    <t>ЗАТИРКА "СТАРАТЕЛИ" (РАЗНОЙ ЦВЕТНОСТИ)</t>
  </si>
  <si>
    <t>РАЗДЕЛ 18.ПОЛЫ ТИПОВЫХ ЭТАЖЕЙ</t>
  </si>
  <si>
    <t>РАЗДЕЛ 19.ТИП ПОЛА "К"</t>
  </si>
  <si>
    <t>55</t>
  </si>
  <si>
    <t>55.1</t>
  </si>
  <si>
    <t>55.2</t>
  </si>
  <si>
    <t>55.3</t>
  </si>
  <si>
    <t>55.4</t>
  </si>
  <si>
    <t>55.5</t>
  </si>
  <si>
    <t>55.6</t>
  </si>
  <si>
    <t>55.7</t>
  </si>
  <si>
    <t>56</t>
  </si>
  <si>
    <t>56.1</t>
  </si>
  <si>
    <t>56.2</t>
  </si>
  <si>
    <t>56.3</t>
  </si>
  <si>
    <t>56.4</t>
  </si>
  <si>
    <t>56.5</t>
  </si>
  <si>
    <t>56.6</t>
  </si>
  <si>
    <t>57</t>
  </si>
  <si>
    <t>Е2601-043-05 МИНСТРОЙИЖКХ РУЗ НОМ. 42 03.03.23 Г.</t>
  </si>
  <si>
    <t>УСТРОЙСТВО ТЕПЛО-ПАРО-ШУМОИЗОЛЯЦИИ ИЗ ВСПЕНЕННОГО ПОЛИЭТИЛЕНА ПОЛОВ</t>
  </si>
  <si>
    <t>57.1</t>
  </si>
  <si>
    <t>57.2</t>
  </si>
  <si>
    <t>57.3</t>
  </si>
  <si>
    <t>449205</t>
  </si>
  <si>
    <t>ВСПЕНЕННЫЙ ПОЛИЭТИЛЕН В РУЛОНАХ, ТОЛЩИНОЙ 10 ММ ШИРИНОЙ 100 СМ</t>
  </si>
  <si>
    <t>58</t>
  </si>
  <si>
    <t>58.1</t>
  </si>
  <si>
    <t>58.2</t>
  </si>
  <si>
    <t>59</t>
  </si>
  <si>
    <t>59.1</t>
  </si>
  <si>
    <t>59.2</t>
  </si>
  <si>
    <t>60</t>
  </si>
  <si>
    <t>60.1</t>
  </si>
  <si>
    <t>60.2</t>
  </si>
  <si>
    <t>60.3</t>
  </si>
  <si>
    <t>60.4</t>
  </si>
  <si>
    <t>60.5</t>
  </si>
  <si>
    <t>60.6</t>
  </si>
  <si>
    <t>РАЗДЕЛ 20.ТИП ПОЛА "К"</t>
  </si>
  <si>
    <t>61</t>
  </si>
  <si>
    <t>61.1</t>
  </si>
  <si>
    <t>61.2</t>
  </si>
  <si>
    <t>61.3</t>
  </si>
  <si>
    <t>61.4</t>
  </si>
  <si>
    <t>61.5</t>
  </si>
  <si>
    <t>61.6</t>
  </si>
  <si>
    <t>61.7</t>
  </si>
  <si>
    <t>62</t>
  </si>
  <si>
    <t>62.1</t>
  </si>
  <si>
    <t>62.2</t>
  </si>
  <si>
    <t>62.3</t>
  </si>
  <si>
    <t>62.4</t>
  </si>
  <si>
    <t>62.5</t>
  </si>
  <si>
    <t>62.6</t>
  </si>
  <si>
    <t>63</t>
  </si>
  <si>
    <t>63.1</t>
  </si>
  <si>
    <t>63.2</t>
  </si>
  <si>
    <t>64</t>
  </si>
  <si>
    <t>64.1</t>
  </si>
  <si>
    <t>64.2</t>
  </si>
  <si>
    <t>64.3</t>
  </si>
  <si>
    <t>64.4</t>
  </si>
  <si>
    <t>64.5</t>
  </si>
  <si>
    <t>64.6</t>
  </si>
  <si>
    <t>РАЗДЕЛ 21.ТИП ПОЛА "Л"</t>
  </si>
  <si>
    <t>65</t>
  </si>
  <si>
    <t>65.1</t>
  </si>
  <si>
    <t>65.2</t>
  </si>
  <si>
    <t>65.3</t>
  </si>
  <si>
    <t>66</t>
  </si>
  <si>
    <t>66.1</t>
  </si>
  <si>
    <t>66.2</t>
  </si>
  <si>
    <t>66.3</t>
  </si>
  <si>
    <t>66.4</t>
  </si>
  <si>
    <t>67</t>
  </si>
  <si>
    <t>67.1</t>
  </si>
  <si>
    <t>67.2</t>
  </si>
  <si>
    <t>68</t>
  </si>
  <si>
    <t>68.1</t>
  </si>
  <si>
    <t>68.2</t>
  </si>
  <si>
    <t>69</t>
  </si>
  <si>
    <t>69.1</t>
  </si>
  <si>
    <t>69.2</t>
  </si>
  <si>
    <t>69.3</t>
  </si>
  <si>
    <t>69.4</t>
  </si>
  <si>
    <t>РАЗДЕЛ 22.ЛЕСТНИЧНАЯ КЛЕТКА</t>
  </si>
  <si>
    <t>70</t>
  </si>
  <si>
    <t>Е1101-031-01 МИНСТРОЙ РУЗ 05.01.21 N 9</t>
  </si>
  <si>
    <t>УСТРОЙСТВО ПОКРЫТИЙ ИЗ МРАМОРНЫХ ПЛИТ ПРИ КОЛИЧЕСТВЕ ПЛИТ НА 1 М2 ДО 2 ШТ</t>
  </si>
  <si>
    <t>70.1</t>
  </si>
  <si>
    <t>70.2</t>
  </si>
  <si>
    <t>70.3</t>
  </si>
  <si>
    <t>1702</t>
  </si>
  <si>
    <t>СТАНОК КАМНЕРЕЗНЫЙ УНИВЕРСАЛЬНЫЙ</t>
  </si>
  <si>
    <t>70.4</t>
  </si>
  <si>
    <t>70.5</t>
  </si>
  <si>
    <t>12104</t>
  </si>
  <si>
    <t>РАСТВОР ГОТОВЫЙ КЛАДОЧНЫЙ ТЯЖЕЛЫЙ ЦЕМЕНТНЫЙ, МАРКА: 100</t>
  </si>
  <si>
    <t>70.6</t>
  </si>
  <si>
    <t>18062</t>
  </si>
  <si>
    <t>ПЛИТЫ МРАМОРНЫЕ</t>
  </si>
  <si>
    <t>70.7</t>
  </si>
  <si>
    <t>36085</t>
  </si>
  <si>
    <t>ПИЛОМАТЕРИАЛЫ ХВОЙНЫХ ПОРОД БРУСКИ ОБРЕЗНЫЕ ДЛИНОЙ 2-3,75 М, ШИРИНОЙ 75-150 ММ, ТОЛЩИНОЙ 40-75 ММ III СОРТА</t>
  </si>
  <si>
    <t>РАЗДЕЛ 23.ПЛИНТУС</t>
  </si>
  <si>
    <t>71</t>
  </si>
  <si>
    <t>Е1101-040-03 МИНСТРОЙ РУЗ 05.01.21 N 9</t>
  </si>
  <si>
    <t>УСТРОЙСТВО ПЛИНТУСОВ ПЛАСТИКОВЫХ НА ВИНТАХ САМОНАРЕЗАЮЩИХ</t>
  </si>
  <si>
    <t>100М</t>
  </si>
  <si>
    <t>71.1</t>
  </si>
  <si>
    <t>71.2</t>
  </si>
  <si>
    <t>71.3</t>
  </si>
  <si>
    <t>1041</t>
  </si>
  <si>
    <t>ШУРУПОВЕРТЫ</t>
  </si>
  <si>
    <t>71.4</t>
  </si>
  <si>
    <t>71.5</t>
  </si>
  <si>
    <t>29840</t>
  </si>
  <si>
    <t>УГОЛОК НАРУЖНЫЙ ДЛЯ ПЛАСТИКОВОГО ПЛИНТУСА</t>
  </si>
  <si>
    <t>71.6</t>
  </si>
  <si>
    <t>29841</t>
  </si>
  <si>
    <t>УГОЛОК ВНУТРЕННИЙ ДЛЯ ПЛАСТИКОВОГО ПЛИНТУСА</t>
  </si>
  <si>
    <t>71.7</t>
  </si>
  <si>
    <t>29842</t>
  </si>
  <si>
    <t>СОЕДИНИТЕЛЬ ДЛЯ ПЛАСТИКОВОГО ПЛИНТУСА</t>
  </si>
  <si>
    <t>71.8</t>
  </si>
  <si>
    <t>29843</t>
  </si>
  <si>
    <t>ЗАГЛУШКА ТОРЦЕВАЯ ДЛЯ ПЛАСТИКОВОГО ПЛИНТУСА</t>
  </si>
  <si>
    <t>71.9</t>
  </si>
  <si>
    <t>30795</t>
  </si>
  <si>
    <t>ДЮБЕЛИ РАСПОРНЫЕ ПОЛИЭТИЛЕНОВЫЕ 6Х30 ММ</t>
  </si>
  <si>
    <t>10 ШТ</t>
  </si>
  <si>
    <t>71.10</t>
  </si>
  <si>
    <t>35391</t>
  </si>
  <si>
    <t>ШУРУП САМОНАРЕЗАЮЩИЙ (TN) 3,5/35 ММ</t>
  </si>
  <si>
    <t>71.11</t>
  </si>
  <si>
    <t>44346</t>
  </si>
  <si>
    <t>ПЛИНТУСА ДЛЯ ПОЛОВ ПЛАСТИКОВЫЕ</t>
  </si>
  <si>
    <t>72</t>
  </si>
  <si>
    <t>Е1101-041-01 МИНСТРОЙ РУЗ 05.01.21 N 9</t>
  </si>
  <si>
    <t>УСТАНОВКА ПЛИНТУСОВ ИЗ МРАМОРНЫХ ПЛИТ</t>
  </si>
  <si>
    <t>72.1</t>
  </si>
  <si>
    <t>72.2</t>
  </si>
  <si>
    <t>72.3</t>
  </si>
  <si>
    <t>12102</t>
  </si>
  <si>
    <t>РАСТВОР ГОТОВЫЙ КЛАДОЧНЫЙ ТЯЖЕЛЫЙ ЦЕМЕНТНЫЙ, МАРКА: 50</t>
  </si>
  <si>
    <t>72.4</t>
  </si>
  <si>
    <t>РАЗДЕЛ 24.ОГРАЖДЕНИЯ</t>
  </si>
  <si>
    <t>73</t>
  </si>
  <si>
    <t>Е0906-024-10</t>
  </si>
  <si>
    <t>МОНТАЖ ЛЕСТНИЦ, ПЛОЩАДОК, ОГРАЖДЕНИЙ</t>
  </si>
  <si>
    <t>Т КОНСТРУКЦИЙ</t>
  </si>
  <si>
    <t>73.1</t>
  </si>
  <si>
    <t>73.2</t>
  </si>
  <si>
    <t>1513</t>
  </si>
  <si>
    <t>ПРЕОБРАЗОВАТЕЛИ СВАРОЧНЫЕ С НОМИНАЛЬНЫМ СВАРОЧНЫМ ТОКОМ 315-500 А</t>
  </si>
  <si>
    <t>73.3</t>
  </si>
  <si>
    <t>73.4</t>
  </si>
  <si>
    <t>2577</t>
  </si>
  <si>
    <t>АППАРАТЫ ДЛЯ ГАЗОВОЙ СВАРКИ И РЕЗКИ</t>
  </si>
  <si>
    <t>73.5</t>
  </si>
  <si>
    <t>34241</t>
  </si>
  <si>
    <t>КИСЛОРОД ТЕХНИЧЕСКИЙ ГАЗООБРАЗНЫЙ</t>
  </si>
  <si>
    <t>73.6</t>
  </si>
  <si>
    <t>35310</t>
  </si>
  <si>
    <t>ЭЛЕКТРОДЫ ДИАМЕТРОМ 4 ММ Э42</t>
  </si>
  <si>
    <t>73.7</t>
  </si>
  <si>
    <t>45077</t>
  </si>
  <si>
    <t>73.8</t>
  </si>
  <si>
    <t>50781</t>
  </si>
  <si>
    <t>КОНСТРУКЦИИ СТАЛЬНЫЕ ПО ПРОЕКТУ</t>
  </si>
  <si>
    <t>74</t>
  </si>
  <si>
    <t>Е1504-030-04</t>
  </si>
  <si>
    <t>МАСЛЯНАЯ ОКРАСКА МЕТАЛЛИЧЕСКИХ ПОВЕРХНОСТЕЙ РЕШЕТОК, ПЕРЕПЛЕТОВ, ТРУБ ДИАМЕТРОМ МЕНЕЕ 50 ММ И Т.П., КОЛИЧЕСТВО ОКРАСОК 2</t>
  </si>
  <si>
    <t>74.1</t>
  </si>
  <si>
    <t>74.2</t>
  </si>
  <si>
    <t>74.3</t>
  </si>
  <si>
    <t>43231</t>
  </si>
  <si>
    <t>КРАСКИ МАСЛЯНЫЕ ГОТОВЫЕ К ПРИМЕНЕНИЮ ДЛЯ ВНУТРЕННИХ РАБОТ</t>
  </si>
  <si>
    <t>РАЗДЕЛ 25.НАРУЖНАЯ ОТДЕЛКА</t>
  </si>
  <si>
    <t>75</t>
  </si>
  <si>
    <t>Е0601-099-01</t>
  </si>
  <si>
    <t>УСТАНОВКА ПЛИТ ТЕПЛОИЗОЛЯЦИОННОГО СЛОЯ</t>
  </si>
  <si>
    <t>75.1</t>
  </si>
  <si>
    <t>75.2</t>
  </si>
  <si>
    <t>76</t>
  </si>
  <si>
    <t>ЦЕНА2024-1</t>
  </si>
  <si>
    <t>ЭКСТРУЗИОННЫЙ ПЕНОПОЛИСТИРОЛ ТОЛШ.50ММ</t>
  </si>
  <si>
    <t>77</t>
  </si>
  <si>
    <t>ДЮБЕЛЬ 10Х150ММ</t>
  </si>
  <si>
    <t>78</t>
  </si>
  <si>
    <t>Е1502-011-01 ДОП. 8</t>
  </si>
  <si>
    <t>УСТРОЙСТВО НАРУЖНОЙ ТЕПЛОИЗОЛЯЦИИ ЗДАНИЙ С ТОНКОЙ ШТУКАТУРКОЙ ПО УТЕПЛИТЕЛЮ ТОЛЩИНОЙ ПЛИТ ДО 50 ММ</t>
  </si>
  <si>
    <t>78.1</t>
  </si>
  <si>
    <t>78.2</t>
  </si>
  <si>
    <t>78.3</t>
  </si>
  <si>
    <t>982</t>
  </si>
  <si>
    <t>ЛЕБЕДКИ ЭЛЕКТРИЧЕСКИЕ, ТЯГОВЫМ УСИЛИЕМ 122,62 (12,5) КН (Т)</t>
  </si>
  <si>
    <t>78.4</t>
  </si>
  <si>
    <t>1114</t>
  </si>
  <si>
    <t>МАШИНЫ ЛИСТОГИБОЧНЫЕ СПЕЦИАЛЬНЫЕ (ВАЛЬЦЫ)</t>
  </si>
  <si>
    <t>78.5</t>
  </si>
  <si>
    <t>1146</t>
  </si>
  <si>
    <t>МАШИНЫ ШЛИФОВАЛЬНЫЕ УГЛОВЫЕ</t>
  </si>
  <si>
    <t>78.6</t>
  </si>
  <si>
    <t>1481</t>
  </si>
  <si>
    <t>ПОГРУЗЧИКИ ОДНОКОВШОВЫЕ НА ПНЕВМОКОЛЕСНОМ ХОДУ</t>
  </si>
  <si>
    <t>78.7</t>
  </si>
  <si>
    <t>2511</t>
  </si>
  <si>
    <t>АВТОМОБИЛИ БОРТОВЫЕ ГРУЗОПОДЪЕМНОСТЬЮ ДО 15 Т</t>
  </si>
  <si>
    <t>78.8</t>
  </si>
  <si>
    <t>78.9</t>
  </si>
  <si>
    <t>31122</t>
  </si>
  <si>
    <t>ПЕНА МОНТАЖНАЯ ДЛЯ ГЕРМЕТИЗАЦИИ СТЫКОВ В БАЛЛОНЧИКЕ ЕМКОСТЬЮ 0,85 Л</t>
  </si>
  <si>
    <t>78.10</t>
  </si>
  <si>
    <t>55217</t>
  </si>
  <si>
    <t>ЗАКЛЕПКА СТД-985</t>
  </si>
  <si>
    <t>78.11</t>
  </si>
  <si>
    <t>55218</t>
  </si>
  <si>
    <t>ГРУНТОВКА ПОЛИМЕРНАЯ ТИПА "BOLIX O"</t>
  </si>
  <si>
    <t>78.12</t>
  </si>
  <si>
    <t>55219</t>
  </si>
  <si>
    <t>ГРУНТОВКА ТИПА "BOLIX SG"</t>
  </si>
  <si>
    <t>78.13</t>
  </si>
  <si>
    <t>55221</t>
  </si>
  <si>
    <t>ЛЕНТА ПСУЛ</t>
  </si>
  <si>
    <t>78.14</t>
  </si>
  <si>
    <t>55222</t>
  </si>
  <si>
    <t>СЕТКА АРМИРУЮЩАЯ ФАСАДНАЯ SSA1363-4SM</t>
  </si>
  <si>
    <t>78.15</t>
  </si>
  <si>
    <t>55223</t>
  </si>
  <si>
    <t>ДЮБЕЛЬ РАСПОРНЫЙ С МЕТАЛЛИЧЕСКИМ СТЕРЖНЕМ 10Х120 ММ</t>
  </si>
  <si>
    <t>10ШТ</t>
  </si>
  <si>
    <t>78.16</t>
  </si>
  <si>
    <t>55228</t>
  </si>
  <si>
    <t>СВЕРЛА КОЛЬЦЕВЫЕ АЛМАЗНЫЕ ДИАМЕТРОМ 5 ММ</t>
  </si>
  <si>
    <t>78.17</t>
  </si>
  <si>
    <t>55229</t>
  </si>
  <si>
    <t>СТАЛЬ ЛИСТОВАЯ ОЦИНКОВАННАЯ ТОЛЩИНОЙ ЛИСТА 0,55 ММ</t>
  </si>
  <si>
    <t>78.18</t>
  </si>
  <si>
    <t>55230</t>
  </si>
  <si>
    <t>КЛЕЙ УНИВЕРСАЛЬНЫЙ ДЛЯ СИСТЕМ УТЕПЛЕНИЯ ТИПА "BOLIX WM"</t>
  </si>
  <si>
    <t>78.19</t>
  </si>
  <si>
    <t>55231</t>
  </si>
  <si>
    <t>КЛЕЙ ДЛЯ ПРИКЛЕИВАНИЯ МИНЕРАЛЬНОЙ ВАТЫ ТИПА "BOLIX ZW"</t>
  </si>
  <si>
    <t>78.20</t>
  </si>
  <si>
    <t>55246</t>
  </si>
  <si>
    <t>ПРОФИЛЬ ЦОКОЛЬНЫЙ AL 50 ММ, ДЛИНА 2500 ММ</t>
  </si>
  <si>
    <t>78.21</t>
  </si>
  <si>
    <t>55251</t>
  </si>
  <si>
    <t>УГОЛОК ПВХ С СТЕКЛОСЕТКОЙ</t>
  </si>
  <si>
    <t>78.22</t>
  </si>
  <si>
    <t>61615</t>
  </si>
  <si>
    <t>ДЮБЕЛИ ДЛЯ ПРИСТРЕЛКИ</t>
  </si>
  <si>
    <t>79</t>
  </si>
  <si>
    <t>МИНЕРАЛОВАТНЫЕ БАЗАЛЬТОВОЛОКОННЫЕ ПЛИТЫ ИЛИ (МИНЕРАЛЬНЫЕ ПЛИТЫ НА ОСНОВЕ КВАРЦ.ПЕСКА)ППЖ-120-140 ТОЛШ.50ММ</t>
  </si>
  <si>
    <t>80</t>
  </si>
  <si>
    <t>ЛАК ВОДНО-ДИСПЕРСИОННЫЙ "STONEMIX" НА ОСНОВЕ АКРИЛА</t>
  </si>
  <si>
    <t>81</t>
  </si>
  <si>
    <t>СМЕСЬ УНИВЕРСАЛЬНАЯ ДЕКОРАТИВНАЯ "STONEMIX" НА ОСНОВЕ ТРАВЕРТИНА</t>
  </si>
  <si>
    <t>82</t>
  </si>
  <si>
    <t>Е1502-039-03 ДОП. 11 ГОСАРХИТЕКТСТРОЙ РУЗ ПР. № 429 ОТ 15.12.17 Г.</t>
  </si>
  <si>
    <t>ОТДЕЛКА НАРУЖНЫХ ОТКОСОВ ПО ПОДГОТОВЛЕННЫМ ПОВЕРХНОСТЯМ ДЕКОРАТИВНЫМ ПОКРЫТИЕМ ПОД ИМИТАЦИЮ НАТУРАЛЬНОГО КАМНЯ "ТРАВЕРТИН" СПЛОШНОЕ НАНЕСЕНИЕ С ПОЛИРОВКОЙ ПОВЕРХНОСТИ (БЕЗ РИСУНКА) С РАСХОДОМ 200 КГ МЕХАНИЗИРОВАННЫМ СПОСОБОМ</t>
  </si>
  <si>
    <t>82.1</t>
  </si>
  <si>
    <t>82.2</t>
  </si>
  <si>
    <t>82.3</t>
  </si>
  <si>
    <t>82.4</t>
  </si>
  <si>
    <t>82.5</t>
  </si>
  <si>
    <t>2517</t>
  </si>
  <si>
    <t>АГРЕГАТЫ ОКРАСОЧНЫЕ С ПНЕВМАТИЧЕСКИМ РАСПЫЛЕНИЕМ ДЛЯ ОКРАСКИ ФАСАДОВ ЗДАНИЙ 500 М3/Ч МОЩНОСТЬЮ 1 КВТ</t>
  </si>
  <si>
    <t>82.6</t>
  </si>
  <si>
    <t>31641</t>
  </si>
  <si>
    <t>ГРУНТОВКА НА ОСНОВЕ МИКРОКАЛЬЦИТА</t>
  </si>
  <si>
    <t>82.7</t>
  </si>
  <si>
    <t>82.8</t>
  </si>
  <si>
    <t>46051</t>
  </si>
  <si>
    <t>ДИСК ПОЛИРОВОЧНЫЙ Д 125 ММ</t>
  </si>
  <si>
    <t>82.9</t>
  </si>
  <si>
    <t>442908</t>
  </si>
  <si>
    <t>82.10</t>
  </si>
  <si>
    <t>443103</t>
  </si>
  <si>
    <t>83</t>
  </si>
  <si>
    <t>Е0705-016-04</t>
  </si>
  <si>
    <t>УСТРОЙСТВО ОГРАЖДЕНИЙ</t>
  </si>
  <si>
    <t>83.1</t>
  </si>
  <si>
    <t>83.2</t>
  </si>
  <si>
    <t>83.3</t>
  </si>
  <si>
    <t>83.4</t>
  </si>
  <si>
    <t>34552</t>
  </si>
  <si>
    <t>ЦЕМЕНТ ДЛЯ ПРИГОТОВЛЕНИЯ РАСТВОРА В ПОСТРОЕЧНЫХ УСЛОВИЯХ И В ДРУГИХ ПОДОБНЫХ СЛУЧАЯХ МАРКА ПО ПРОЕКТУ</t>
  </si>
  <si>
    <t>83.5</t>
  </si>
  <si>
    <t>35326</t>
  </si>
  <si>
    <t>ЭЛЕКТРОДЫ ДИАМЕТРОМ 6 ММ Э42</t>
  </si>
  <si>
    <t>84</t>
  </si>
  <si>
    <t>ПЕРИЛА АНОДИРОВАННЫЕ</t>
  </si>
  <si>
    <t>85</t>
  </si>
  <si>
    <t>Е1001-100-01 ДОП. 15</t>
  </si>
  <si>
    <t>УСТАНОВКА ДЕКОРАТИВНЫХ ДЕРЕВЯННЫХ И ПЛАСТИКОВЫХ ОТДЕЛОЧНЫХ ДЕТАЛЕЙ НА КЛЕЕ</t>
  </si>
  <si>
    <t>100М ДЕТАЛЕЙ</t>
  </si>
  <si>
    <t>85.1</t>
  </si>
  <si>
    <t>85.2</t>
  </si>
  <si>
    <t>49882</t>
  </si>
  <si>
    <t>КЛЕЙ СТРОИТЕЛЬНЫЙ "ЖИДКИЕ ГВОЗДИ"</t>
  </si>
  <si>
    <t>85.3</t>
  </si>
  <si>
    <t>937511</t>
  </si>
  <si>
    <t>ДЕКОРАТИВНЫЕ ДЕТАЛИ ПО ПРОЕКТУ</t>
  </si>
  <si>
    <t>РАЗДЕЛ 26.ЦОКОЛЬ</t>
  </si>
  <si>
    <t>86</t>
  </si>
  <si>
    <t>Е1502-001-01</t>
  </si>
  <si>
    <t>УЛУЧШЕННАЯ ШТУКАТУРКА ЦЕМЕНТНО-ПЕСЧАНЫЙ РАСТВОРОМ ПО КАМНЮ ЦОКОЛ</t>
  </si>
  <si>
    <t>86.1</t>
  </si>
  <si>
    <t>86.2</t>
  </si>
  <si>
    <t>12181</t>
  </si>
  <si>
    <t>РАСТВОР ЦЕМЕНТНО-ПЕСЧАНЫЙ М-100</t>
  </si>
  <si>
    <t>87</t>
  </si>
  <si>
    <t>Е1501-016-02 ДОП. 12 МИНСТРОЙ РУЗ N 519 ОТ 18.11.2019 Г.</t>
  </si>
  <si>
    <t>НАРУЖНАЯ ОБЛИЦОВКА ПО БЕТОННОЙ ПОВЕРХНОСТИ КЕРАМИЧЕСКИМИ, БЕТОННЫМИ ИЛИ ЦЕМЕНТНЫМИ ОТДЕЛЬНЫМИ ПЛИТКАМИ НА ЦЕМЕНТНОМ РАСТВОРЕ СТЕН</t>
  </si>
  <si>
    <t>87.1</t>
  </si>
  <si>
    <t>87.2</t>
  </si>
  <si>
    <t>12217</t>
  </si>
  <si>
    <t>РАСТВОР ГОТОВЫЙ ОТДЕЛОЧНЫЙ ТЯЖЕЛЫЙ, ЦЕМЕНТНЫЙ: 1:3</t>
  </si>
  <si>
    <t>87.3</t>
  </si>
  <si>
    <t>34526</t>
  </si>
  <si>
    <t>ПОРТЛАНДЦЕМЕНТ ПУЦЦОЛАНОВЫЙ ОБЩЕСТРОИТЕЛЬНОГО И СПЕЦИАЛЬНОГО НАЗНАЧЕНИЯ МАРКИ 400</t>
  </si>
  <si>
    <t>87.4</t>
  </si>
  <si>
    <t>60135</t>
  </si>
  <si>
    <t>ПЛИТКИ ФАСАДНЫЕ ПО ПРОЕКТУ</t>
  </si>
  <si>
    <t>РАЗДЕЛ 27.КРЫЛЬЦО</t>
  </si>
  <si>
    <t>88</t>
  </si>
  <si>
    <t>88.1</t>
  </si>
  <si>
    <t>88.2</t>
  </si>
  <si>
    <t>88.3</t>
  </si>
  <si>
    <t>88.4</t>
  </si>
  <si>
    <t>88.5</t>
  </si>
  <si>
    <t>88.6</t>
  </si>
  <si>
    <t>РАЗДЕЛ 28.КОЗЫРЕК</t>
  </si>
  <si>
    <t>89</t>
  </si>
  <si>
    <t>Е0601-015-07</t>
  </si>
  <si>
    <t>УСТАНОВКА ЗАКЛАДНЫХ ДЕТАЛЕЙ ВЕСОМ ДО 4 КГ</t>
  </si>
  <si>
    <t>89.1</t>
  </si>
  <si>
    <t>89.2</t>
  </si>
  <si>
    <t>89.3</t>
  </si>
  <si>
    <t>90</t>
  </si>
  <si>
    <t>Е0903-012-01</t>
  </si>
  <si>
    <t>МОНТАЖ СТРОПИЛЬНЫХ И ПОДСТРОПИЛЬНЫХ ФЕРМ НА ВЫСОТЕ ДО 25 М ПРОЛЕТОМ ДО 24 М МАССОЙ ДО 3,0</t>
  </si>
  <si>
    <t>90.1</t>
  </si>
  <si>
    <t>90.2</t>
  </si>
  <si>
    <t>762</t>
  </si>
  <si>
    <t>КРАНЫ НА АВТОМОБИЛЬНОМ ХОДУ ПРИ РАБОТЕ НА ДРУГИХ ВИДАХ СТРОИТЕЛЬСТВА 10 Т</t>
  </si>
  <si>
    <t>90.3</t>
  </si>
  <si>
    <t>90.4</t>
  </si>
  <si>
    <t>90.5</t>
  </si>
  <si>
    <t>90.6</t>
  </si>
  <si>
    <t>90.7</t>
  </si>
  <si>
    <t>90.8</t>
  </si>
  <si>
    <t>90.9</t>
  </si>
  <si>
    <t>44897</t>
  </si>
  <si>
    <t>ШЛИФКРУГИ</t>
  </si>
  <si>
    <t>90.10</t>
  </si>
  <si>
    <t>90.11</t>
  </si>
  <si>
    <t>91</t>
  </si>
  <si>
    <t>Е0903-015-01</t>
  </si>
  <si>
    <t>МОНТАЖ ПРОГОНОВ ПРИ ШАГЕ ФЕРМ ДО 12 М ПРИ ВЫСОТЕ ЗДАНИЯ ДО 25 М</t>
  </si>
  <si>
    <t>91.1</t>
  </si>
  <si>
    <t>91.2</t>
  </si>
  <si>
    <t>91.3</t>
  </si>
  <si>
    <t>91.4</t>
  </si>
  <si>
    <t>91.5</t>
  </si>
  <si>
    <t>91.6</t>
  </si>
  <si>
    <t>91.7</t>
  </si>
  <si>
    <t>91.8</t>
  </si>
  <si>
    <t>91.9</t>
  </si>
  <si>
    <t>91.10</t>
  </si>
  <si>
    <t>92</t>
  </si>
  <si>
    <t>Е1303-002-04</t>
  </si>
  <si>
    <t>ОГРУНТОВКА МЕТАЛЛИЧЕСКИХ ПОВЕРХНОСТЕЙ ЗА ОДИН РАЗ ГРУНТОВКОЙ ГФ-021</t>
  </si>
  <si>
    <t>92.1</t>
  </si>
  <si>
    <t>92.2</t>
  </si>
  <si>
    <t>92.3</t>
  </si>
  <si>
    <t>2515</t>
  </si>
  <si>
    <t>АГРЕГАТЫ ОКРАСОЧНЫЕ ВЫСОКОГО ДАВЛЕНИЯ ДЛЯ ОКРАСКИ ПОВЕРХНОСТЕЙ КОНСТРУКЦИЙ МОЩНОСТЬЮ 1 КВТ</t>
  </si>
  <si>
    <t>92.4</t>
  </si>
  <si>
    <t>31419</t>
  </si>
  <si>
    <t>ГРУНТОВКА ГФ-021 КРАСНО-КОРИЧНЕВАЯ</t>
  </si>
  <si>
    <t>93</t>
  </si>
  <si>
    <t>Е1303-004-26 К=2</t>
  </si>
  <si>
    <t>ОКРАСКА МЕТАЛЛИЧЕСКИХ ОГРУНТОВАННЫХ ПОВЕРХНОСТЕЙ ЭМАЛЬЮ ПФ-115</t>
  </si>
  <si>
    <t>93.1</t>
  </si>
  <si>
    <t>93.2</t>
  </si>
  <si>
    <t>93.3</t>
  </si>
  <si>
    <t>93.4</t>
  </si>
  <si>
    <t>31795</t>
  </si>
  <si>
    <t>ЭМАЛЬ ПФ-115 СЕРАЯ</t>
  </si>
  <si>
    <t>93.5</t>
  </si>
  <si>
    <t>34035</t>
  </si>
  <si>
    <t>УАЙТ-СПИРИТ</t>
  </si>
  <si>
    <t>94</t>
  </si>
  <si>
    <t>Е1203-004-01 МИНСТРОЙ РУЗ 05.01.21 N 3</t>
  </si>
  <si>
    <t>УСТРОЙСТВО КРОВЛИ ИЗ МЕТАЛЛОЧЕРЕПИЦЫ, ПРОФНАСТИЛА ТРАПЕЦИЕВИДНОГО И СИНУСОВИДНОГО ПРОФИЛЯ, С ПОКРЫТИЕМ ПО ГОТОВЫМ ПРОГОНАМ: ПРОСТОЙ</t>
  </si>
  <si>
    <t>94.1</t>
  </si>
  <si>
    <t>94.2</t>
  </si>
  <si>
    <t>94.3</t>
  </si>
  <si>
    <t>94.4</t>
  </si>
  <si>
    <t>30818</t>
  </si>
  <si>
    <t>ВИНТЫ САМОНАРЕЗАЮЩИЕ С УПЛОТНИТЕЛЬНОЙ ПРОКЛАДКОЙ 4,8X35</t>
  </si>
  <si>
    <t>94.5</t>
  </si>
  <si>
    <t>30819</t>
  </si>
  <si>
    <t>ВИНТЫ САМОНАРЕЗАЮЩИЕ С УПЛОТНИТЕЛЬНОЙ ПРОКЛАДКОЙ 4,8X80</t>
  </si>
  <si>
    <t>94.6</t>
  </si>
  <si>
    <t>30823</t>
  </si>
  <si>
    <t>ПРОКЛАДКИ УПЛОТНИТЕЛЬНЫЕ ПЕНОПОЛИУРЕТАНОВЫЕ ДЛЯ МЕТАЛЛОЧЕРЕПИЦЫ</t>
  </si>
  <si>
    <t>94.7</t>
  </si>
  <si>
    <t>30861</t>
  </si>
  <si>
    <t>МЕТАЛЛОЧЕРЕПИЦА, ПРОФНАСТИЛ ТРАПЕЦИЕВИДНЫЙ И СИНУСОВИДНЫЙ С ПОКРЫТИЕМ</t>
  </si>
  <si>
    <t>95</t>
  </si>
  <si>
    <t>Е1201-010-01 МИНСТРОЙ РУЗ 05.01.21 N 3</t>
  </si>
  <si>
    <t>УСТРОЙСТВО МЕЛКИХ ПОКРЫТИЙ [БРАНДМАУЭРЫ, ПАРАПЕТЫ, СВЕСЫ И Т.П.] ИЗ ЛИСТОВОЙ ОЦИНКОВАННОЙ СТАЛИ</t>
  </si>
  <si>
    <t>95.1</t>
  </si>
  <si>
    <t>95.2</t>
  </si>
  <si>
    <t>95.3</t>
  </si>
  <si>
    <t>95.4</t>
  </si>
  <si>
    <t>32522</t>
  </si>
  <si>
    <t>ПРОВОЛОКА КАНАТНАЯ ОЦИНКОВАННАЯ ДИАМЕТРОМ 3 ММ</t>
  </si>
  <si>
    <t>96</t>
  </si>
  <si>
    <t>СЦЕНА2025-13</t>
  </si>
  <si>
    <t>ОЦИНКОВАННАЯ КРОВЕЛЬНАЯ СТАЛЬ 0,6 ММ</t>
  </si>
  <si>
    <t>97</t>
  </si>
  <si>
    <t>СЦЕНА2025-14</t>
  </si>
  <si>
    <t>АНКЕРНОЙ БОЛТ С ГАЙКОЙ (12Х300)</t>
  </si>
  <si>
    <t>98</t>
  </si>
  <si>
    <t>Е1501-092-01 ДОП. 9</t>
  </si>
  <si>
    <t>РАСКРОЙ И ИЗГОТОВЛЕНИЕ ПАНЕЛЕЙ ИЗ ЛИСТОВ "АЛЮПАН"</t>
  </si>
  <si>
    <t>98.1</t>
  </si>
  <si>
    <t>98.2</t>
  </si>
  <si>
    <t>98.3</t>
  </si>
  <si>
    <t>1523</t>
  </si>
  <si>
    <t>ПИЛЫ ДИСКОВЫЕ ЭЛЕКТРИЧЕСКИЕ</t>
  </si>
  <si>
    <t>98.4</t>
  </si>
  <si>
    <t>2667</t>
  </si>
  <si>
    <t>СТАНКИ ФРЕЗЕРНЫЕ</t>
  </si>
  <si>
    <t>98.5</t>
  </si>
  <si>
    <t>30625</t>
  </si>
  <si>
    <t>ВЫТЯЖНЫЕ КЛЕПКИ</t>
  </si>
  <si>
    <t>99</t>
  </si>
  <si>
    <t>Е1501-091-03 ДОП. 9</t>
  </si>
  <si>
    <t>ОБЛИЦОВКА ФАСАДА ДЕКОРАТИВНЫМИ ПАНЕЛЯМИ ТИПА "АЛЮПАН"</t>
  </si>
  <si>
    <t>99.1</t>
  </si>
  <si>
    <t>99.2</t>
  </si>
  <si>
    <t>99.3</t>
  </si>
  <si>
    <t>99.4</t>
  </si>
  <si>
    <t>99.5</t>
  </si>
  <si>
    <t>99.6</t>
  </si>
  <si>
    <t>29109</t>
  </si>
  <si>
    <t>АЛЮМИНИЕВЫЕ КОМПОЗИТНЫЕ ПАНЕЛИ ТИПА "АЛЮПАН"</t>
  </si>
  <si>
    <t>99.7</t>
  </si>
  <si>
    <t>29160</t>
  </si>
  <si>
    <t>ВИНТЫ САМОНАРЕЗАЮЩИЕ</t>
  </si>
  <si>
    <t>99.8</t>
  </si>
  <si>
    <t>29161</t>
  </si>
  <si>
    <t>БОЛТЫ АНКЕРНЫЕ</t>
  </si>
  <si>
    <t>99.9</t>
  </si>
  <si>
    <t>40980</t>
  </si>
  <si>
    <t>МЕТАЛЛИЧЕСКИЙ КАРКАС ИЗ ЖЕСТЯННОГО ПРОФИЛЯ</t>
  </si>
  <si>
    <t>РАЗДЕЛ 29.КРЫЛЬЦО АР-14</t>
  </si>
  <si>
    <t>100</t>
  </si>
  <si>
    <t>УСТРОЙСТВО МЕТАЛЛИЧЕСКИХ ОГРАЖДЕНИЙ</t>
  </si>
  <si>
    <t>100.1</t>
  </si>
  <si>
    <t>100.2</t>
  </si>
  <si>
    <t>100.3</t>
  </si>
  <si>
    <t>100.4</t>
  </si>
  <si>
    <t>101</t>
  </si>
  <si>
    <t>СЦЕНА2025-12</t>
  </si>
  <si>
    <t>МЕТАЛЛИЧЕСКАЯ ОГРАЖДЕНИЯ</t>
  </si>
  <si>
    <t>102</t>
  </si>
  <si>
    <t>102.1</t>
  </si>
  <si>
    <t>102.2</t>
  </si>
  <si>
    <t>102.3</t>
  </si>
  <si>
    <t>102.4</t>
  </si>
  <si>
    <t>103</t>
  </si>
  <si>
    <t>103.1</t>
  </si>
  <si>
    <t>103.2</t>
  </si>
  <si>
    <t>103.3</t>
  </si>
  <si>
    <t>103.4</t>
  </si>
  <si>
    <t>103.5</t>
  </si>
  <si>
    <t>РАЗДЕЛ 30.КРОВЛЯ. ЧЕРДАЧНОЕ ПЕРЕКРЫТИЕ</t>
  </si>
  <si>
    <t>104</t>
  </si>
  <si>
    <t>Е1201-017-01 МИНСТРОЙ РУЗ 05.01.21 N 3</t>
  </si>
  <si>
    <t>УСТРОЙСТВО ВЫРАВНИВАЮЩИХ СТЯЖЕК ЦЕМЕНТНО-ПЕСЧАНЫХ ТОЛЩИНОЙ 15 ММ</t>
  </si>
  <si>
    <t>104.1</t>
  </si>
  <si>
    <t>104.2</t>
  </si>
  <si>
    <t>104.3</t>
  </si>
  <si>
    <t>133</t>
  </si>
  <si>
    <t>АГРЕГАТЫ ЭЛЕКТРОНАСОСНЫЕ С РЕГУЛИРОВАНИЕМ ПОДАЧИ ВРУЧНУЮ ДЛЯ СТРОИТЕЛЬНЫХ РАСТВОРОВ ПОДАЧА ДО 2 М3/Ч, НАПОР 150 М</t>
  </si>
  <si>
    <t>104.4</t>
  </si>
  <si>
    <t>104.5</t>
  </si>
  <si>
    <t>104.6</t>
  </si>
  <si>
    <t>31907</t>
  </si>
  <si>
    <t>РУБЕРОИД КРОВЕЛЬНЫЙ С КРУПНОЗЕРНИСТОЙ ПОСЫПКОЙ С ПЫЛЕВИДНОЙ ПОСЫПКОЙ РКП-350Б</t>
  </si>
  <si>
    <t>105</t>
  </si>
  <si>
    <t>Е1201-017-02 МИНСТРОЙ РУЗ 05.01.21 N 3 К=5</t>
  </si>
  <si>
    <t>УСТРОЙСТВО ВЫРАВНИВАЮЩИХ СТЯЖЕК ЦЕМЕНТНО-ПЕСЧАНЫХ НА КАЖДЫЙ 1 ММ ИЗМЕНЕНИЯ ТОЛЩИНЫ ДОБАВЛЯТЬ К [12 01 017 01]</t>
  </si>
  <si>
    <t>105.1</t>
  </si>
  <si>
    <t>105.2</t>
  </si>
  <si>
    <t>105.3</t>
  </si>
  <si>
    <t>105.4</t>
  </si>
  <si>
    <t>106</t>
  </si>
  <si>
    <t>СЦЕНА2025-4</t>
  </si>
  <si>
    <t>ПЛЕНКА ПОЛИЭТИЛЕНОВАЯ</t>
  </si>
  <si>
    <t>107</t>
  </si>
  <si>
    <t>Е2601-039-01 МИНСТРОЙИЖКХ РУЗ НОМ. 42 03.03.23 Г. ТЧ П.1.23 ТАБЛ.1.2 КЗТР=0,75</t>
  </si>
  <si>
    <t>ИЗОЛЯЦИЯ ПОКРЫТИЙ И ПЕРЕКРЫТИЙ ИЗДЕЛИЯМИ ИЗ ВОЛОКНИСТЫХ И ЗЕРНИСТЫХ МАТЕРИАЛОВ НАСУХО. ВЫПОЛНЕНИЕ РАБОТ ПО ИЗОЛЯЦИИ ПОВЕРХНОСТЕЙ ТОЛЬКО СВЕРХУ ПРИМЕНЕН КОЭФФИЦИЕНТ К НОРМАМ ЗАТРАТ ТРУДА - 0,75</t>
  </si>
  <si>
    <t>107.1</t>
  </si>
  <si>
    <t>107.2</t>
  </si>
  <si>
    <t>108</t>
  </si>
  <si>
    <t>СЦЕНА2025-11</t>
  </si>
  <si>
    <t>ПЛИТЫ ТЕПЛОИЗОЛЯЦИОННЫЕ ППЖ-100 ТОЛЩИНОЙ 100 ММ</t>
  </si>
  <si>
    <t>109</t>
  </si>
  <si>
    <t>Е1201-029-03 ДОП. 15</t>
  </si>
  <si>
    <t>УСТРОЙСТВО ПЛОСКИХ КРОВЕЛЬ ИЗ ПВХ МЕМБРАН МЕТОДОМ СВОБОДНОЙ УКЛАДКИ</t>
  </si>
  <si>
    <t>109.1</t>
  </si>
  <si>
    <t>109.2</t>
  </si>
  <si>
    <t>109.3</t>
  </si>
  <si>
    <t>109.4</t>
  </si>
  <si>
    <t>49382</t>
  </si>
  <si>
    <t>МАТЕРИАЛ (МЕМБРАНА) КРОВЕЛЬНЫЙ ГИДРОИЗОЛЯЦИОННЫЙ ИЗ ЭТИЛЕНПРОПИЛЕНДИЕНОВОГО КАУЧУКА НА СИНТЕТИЧЕСКОЙ НЕТКАНОЙ ОСНОВЕ</t>
  </si>
  <si>
    <t>110</t>
  </si>
  <si>
    <t>110.1</t>
  </si>
  <si>
    <t>110.2</t>
  </si>
  <si>
    <t>110.3</t>
  </si>
  <si>
    <t>110.4</t>
  </si>
  <si>
    <t>110.5</t>
  </si>
  <si>
    <t>110.6</t>
  </si>
  <si>
    <t>111</t>
  </si>
  <si>
    <t>Е1201-017-02 МИНСТРОЙ РУЗ 05.01.21 N 3 К=35</t>
  </si>
  <si>
    <t>111.1</t>
  </si>
  <si>
    <t>111.2</t>
  </si>
  <si>
    <t>111.3</t>
  </si>
  <si>
    <t>111.4</t>
  </si>
  <si>
    <t>112.1</t>
  </si>
  <si>
    <t>112.2</t>
  </si>
  <si>
    <t>112.3</t>
  </si>
  <si>
    <t>112.4</t>
  </si>
  <si>
    <t>112.5</t>
  </si>
  <si>
    <t>112.6</t>
  </si>
  <si>
    <t>112.7</t>
  </si>
  <si>
    <t>113</t>
  </si>
  <si>
    <t>Е1201-012-01 МИНСТРОЙ РУЗ 05.01.21 N 3</t>
  </si>
  <si>
    <t>ОГРАЖДЕНИЕ КРОВЕЛЬ ПЕРИЛАМИ</t>
  </si>
  <si>
    <t>113.1</t>
  </si>
  <si>
    <t>113.2</t>
  </si>
  <si>
    <t>698</t>
  </si>
  <si>
    <t>КРАНЫ БАШЕННЫЕ ПРИ РАБОТЕ НА ДРУГИХ ВИДАХ СТРОИТЕЛЬСТВА 8 Т</t>
  </si>
  <si>
    <t>113.3</t>
  </si>
  <si>
    <t>113.4</t>
  </si>
  <si>
    <t>113.5</t>
  </si>
  <si>
    <t>113.6</t>
  </si>
  <si>
    <t>114</t>
  </si>
  <si>
    <t>ТРУБЫ СТАЛЬНЫЕ ПРЯМОУГОЛЬНЫЕ 40Х20Х2 ММ</t>
  </si>
  <si>
    <t>115</t>
  </si>
  <si>
    <t>ТРУБЫ СТАЛЬНЫЕ КВАДРАТНЫЕ 20Х20Х2 ММ</t>
  </si>
  <si>
    <t>116</t>
  </si>
  <si>
    <t>СТАЛЬНОЙ ЛИСТ -4Х50Х120</t>
  </si>
  <si>
    <t>117</t>
  </si>
  <si>
    <t>СЦЕНА2030-4</t>
  </si>
  <si>
    <t>РЕЗИНОВЫЙ УПЛОТНИТЕЛЬ</t>
  </si>
  <si>
    <t>118</t>
  </si>
  <si>
    <t>СЦЕНА2030-5</t>
  </si>
  <si>
    <t>САМОРЕЗ 4,2Х16 С ПРЕССШАЙБОЙ</t>
  </si>
  <si>
    <t>119</t>
  </si>
  <si>
    <t>119.1</t>
  </si>
  <si>
    <t>119.2</t>
  </si>
  <si>
    <t>119.3</t>
  </si>
  <si>
    <t>119.4</t>
  </si>
  <si>
    <t>120</t>
  </si>
  <si>
    <t>120.1</t>
  </si>
  <si>
    <t>120.2</t>
  </si>
  <si>
    <t>120.3</t>
  </si>
  <si>
    <t>120.4</t>
  </si>
  <si>
    <t>120.5</t>
  </si>
  <si>
    <t>РАЗДЕЛ 31.КРОВЛЯ ЛИФТОВОЙ ШАХТЫ</t>
  </si>
  <si>
    <t>121</t>
  </si>
  <si>
    <t>121.1</t>
  </si>
  <si>
    <t>121.2</t>
  </si>
  <si>
    <t>121.3</t>
  </si>
  <si>
    <t>121.4</t>
  </si>
  <si>
    <t>121.5</t>
  </si>
  <si>
    <t>121.6</t>
  </si>
  <si>
    <t>122</t>
  </si>
  <si>
    <t>122.1</t>
  </si>
  <si>
    <t>122.2</t>
  </si>
  <si>
    <t>122.3</t>
  </si>
  <si>
    <t>122.4</t>
  </si>
  <si>
    <t>123</t>
  </si>
  <si>
    <t>124</t>
  </si>
  <si>
    <t>СЦЕНА2019-88</t>
  </si>
  <si>
    <t>ПЕНОПЛЕКС 100ММ</t>
  </si>
  <si>
    <t>125</t>
  </si>
  <si>
    <t>125.1</t>
  </si>
  <si>
    <t>125.2</t>
  </si>
  <si>
    <t>125.3</t>
  </si>
  <si>
    <t>125.4</t>
  </si>
  <si>
    <t>125.5</t>
  </si>
  <si>
    <t>125.6</t>
  </si>
  <si>
    <t>126</t>
  </si>
  <si>
    <t>Е1201-017-02 МИНСТРОЙ РУЗ 05.01.21 N 3 К=85</t>
  </si>
  <si>
    <t>126.1</t>
  </si>
  <si>
    <t>126.2</t>
  </si>
  <si>
    <t>126.3</t>
  </si>
  <si>
    <t>126.4</t>
  </si>
  <si>
    <t>127</t>
  </si>
  <si>
    <t>Е1201-021-01 МИНСТРОЙ РУЗ 05.01.21 N 3</t>
  </si>
  <si>
    <t>УСТРОЙСТВО КРОВЕЛЬ ПЛОСКИХ ИЗ БИТУМНО-ПОЛИМЕРНОГО НАПЛАВЛЯЕМОГО МАТЕРИАЛА, 1 СЛОЙ ПОДКЛАДОЧНЫЙ НА МАСТИКЕ</t>
  </si>
  <si>
    <t>127.1</t>
  </si>
  <si>
    <t>127.2</t>
  </si>
  <si>
    <t>127.3</t>
  </si>
  <si>
    <t>127.4</t>
  </si>
  <si>
    <t>127.5</t>
  </si>
  <si>
    <t>127.6</t>
  </si>
  <si>
    <t>127.7</t>
  </si>
  <si>
    <t>460797</t>
  </si>
  <si>
    <t>ПОЛИИЗОЛ ТПП БЕЗ ФОЛЬГИ 3ММ</t>
  </si>
  <si>
    <t>128</t>
  </si>
  <si>
    <t>Е1201-021-02 МИНСТРОЙ РУЗ 05.01.21 N 3</t>
  </si>
  <si>
    <t>УСТРОЙСТВО КРОВЕЛЬ ПЛОСКИХ ИЗ БИТУМНО-ПОЛИМЕРНОГО НАПЛАВЛЯЕМОГО МАТЕРИАЛА, 2 СЛОЙ НАКРЫВОЧНЫЙ НА МАСТИКЕ</t>
  </si>
  <si>
    <t>128.1</t>
  </si>
  <si>
    <t>128.2</t>
  </si>
  <si>
    <t>128.3</t>
  </si>
  <si>
    <t>128.4</t>
  </si>
  <si>
    <t>128.5</t>
  </si>
  <si>
    <t>128.6</t>
  </si>
  <si>
    <t>129</t>
  </si>
  <si>
    <t>129.1</t>
  </si>
  <si>
    <t>129.2</t>
  </si>
  <si>
    <t>129.3</t>
  </si>
  <si>
    <t>129.4</t>
  </si>
  <si>
    <t>129.5</t>
  </si>
  <si>
    <t>129.6</t>
  </si>
  <si>
    <t>129.7</t>
  </si>
  <si>
    <t>461466</t>
  </si>
  <si>
    <t>ФОЛЬГОИЗОЛ ТФП 3ММ С ФОЛЬГОЙ</t>
  </si>
  <si>
    <t>РАЗДЕЛ 32.СТРЕМЯНКА</t>
  </si>
  <si>
    <t>130</t>
  </si>
  <si>
    <t>МОНТАЖ МЕТАЛЛИЧЕСКИХ СТРЕМЯНОК</t>
  </si>
  <si>
    <t>130.1</t>
  </si>
  <si>
    <t>130.2</t>
  </si>
  <si>
    <t>130.3</t>
  </si>
  <si>
    <t>130.4</t>
  </si>
  <si>
    <t>130.5</t>
  </si>
  <si>
    <t>30322</t>
  </si>
  <si>
    <t>БОЛТЫ СТРОИТЕЛЬНЫЕ С ГАЙКАМИ И ШАЙБАМИ</t>
  </si>
  <si>
    <t>130.6</t>
  </si>
  <si>
    <t>130.7</t>
  </si>
  <si>
    <t>130.8</t>
  </si>
  <si>
    <t>31524</t>
  </si>
  <si>
    <t>РАСТВОРИТЕЛЬ МАРКИ Р-4</t>
  </si>
  <si>
    <t>130.9</t>
  </si>
  <si>
    <t>32524</t>
  </si>
  <si>
    <t>КАТАНКА ГОРЯЧЕКАТАНАЯ В МОТКАХ ДИАМЕТРОМ 6,3-6,5 ММ</t>
  </si>
  <si>
    <t>130.10</t>
  </si>
  <si>
    <t>33816</t>
  </si>
  <si>
    <t>ШВЕЛЛЕРЫ N 40 СТАЛЬ МАРКИ СТ0</t>
  </si>
  <si>
    <t>130.11</t>
  </si>
  <si>
    <t>130.12</t>
  </si>
  <si>
    <t>130.13</t>
  </si>
  <si>
    <t>36023</t>
  </si>
  <si>
    <t>ПИЛОМАТЕРИАЛЫ ХВОЙНЫХ ПОРОД ДРУСКИ ОБРЕЗНЫЕ ДЛИНОЙ 4-6,5 М, ШИРИНОЙ 75-150 ММ, ТОЛЩИНОЙ 40-75 ММ I СОРТА</t>
  </si>
  <si>
    <t>130.14</t>
  </si>
  <si>
    <t>130.15</t>
  </si>
  <si>
    <t>50760</t>
  </si>
  <si>
    <t>ОТДЕЛЬНЫЕ КОНСТРУКТИВНЫЕ ЭЛЕМЕНТЫ ЗДАНИЙ И СООРУЖЕНИЙ С ПРЕОБЛАДАНИЕМ ГНУТЫХ ПРОФИЛЕЙ, СРЕДНЯЯ МАССА СБОРОЧНОЙ ЕДИНИЦЫ ДО 0.1 Т</t>
  </si>
  <si>
    <t>131</t>
  </si>
  <si>
    <t>131.1</t>
  </si>
  <si>
    <t>131.2</t>
  </si>
  <si>
    <t>131.3</t>
  </si>
  <si>
    <t>131.4</t>
  </si>
  <si>
    <t>132</t>
  </si>
  <si>
    <t>Е1303-004-26</t>
  </si>
  <si>
    <t>132.1</t>
  </si>
  <si>
    <t>132.2</t>
  </si>
  <si>
    <t>132.3</t>
  </si>
  <si>
    <t>132.4</t>
  </si>
  <si>
    <t>132.5</t>
  </si>
  <si>
    <t>РАЗДЕЛ 33.ЛИФТ</t>
  </si>
  <si>
    <t>Ц0305-001-03 ДОП. 4</t>
  </si>
  <si>
    <t>ЛИФТ ПАССАЖИРСКИЙ СО СКОРОСТЬЮ ДВИЖЕНИЯ КАБИНЫ ДО 1 М/С, ГРУЗОПОДЪЕМНОСТЬЮ 1000 КГ, КОЛИЧЕСТВО ОСТАНОВОК 12, ВЫСОТА ШАХТЫ 44 М</t>
  </si>
  <si>
    <t>ЛИФТ</t>
  </si>
  <si>
    <t>133.1</t>
  </si>
  <si>
    <t>133.2</t>
  </si>
  <si>
    <t>701</t>
  </si>
  <si>
    <t>КРАНЫ БАШЕННЫЕ ПРИ РАБОТЕ НА МОНТАЖЕ ТЕХНОЛОГИЧЕСКОГО ОБОРУДОВАНИЯ 5 Т</t>
  </si>
  <si>
    <t>133.3</t>
  </si>
  <si>
    <t>766</t>
  </si>
  <si>
    <t>КРАНЫ НА АВТОМОБИЛЬНОМ ХОДУ ПРИ РАБОТЕ НА МОНТАЖЕ ТЕХНОЛОГИЧЕСКОГО ОБОРУДОВАНИЯ 10 Т</t>
  </si>
  <si>
    <t>133.4</t>
  </si>
  <si>
    <t>978</t>
  </si>
  <si>
    <t>ЛЕБЕДКИ ЭЛЕКТРИЧЕСКИЕ, ТЯГОВЫМ УСИЛИЕМ ДО 31,39 (3,2) КН (Т)</t>
  </si>
  <si>
    <t>133.5</t>
  </si>
  <si>
    <t>133.6</t>
  </si>
  <si>
    <t>133.7</t>
  </si>
  <si>
    <t>30304</t>
  </si>
  <si>
    <t>БОЛТЫ С ШЕСТИГРАННОЙ ГОЛОВКОЙ ДИАМЕТРОМ РЕЗЬБЫ 12-(14) ММ</t>
  </si>
  <si>
    <t>133.8</t>
  </si>
  <si>
    <t>31162</t>
  </si>
  <si>
    <t>ШАЙБЫ ОЦИНКОВАННЫЕ ДИАМЕТР 12 ММ</t>
  </si>
  <si>
    <t>133.9</t>
  </si>
  <si>
    <t>31226</t>
  </si>
  <si>
    <t>ЛАК БТ-577</t>
  </si>
  <si>
    <t>133.10</t>
  </si>
  <si>
    <t>133.11</t>
  </si>
  <si>
    <t>32545</t>
  </si>
  <si>
    <t>ПРОВОЛОКА СВЕТЛАЯ ДИАМЕТРОМ 3,0 ММ</t>
  </si>
  <si>
    <t>133.12</t>
  </si>
  <si>
    <t>32694</t>
  </si>
  <si>
    <t>ЛЕНТА КИПЕРНАЯ</t>
  </si>
  <si>
    <t>10М</t>
  </si>
  <si>
    <t>133.13</t>
  </si>
  <si>
    <t>34351</t>
  </si>
  <si>
    <t>КАНИФОЛЬ СОСНОВАЯ</t>
  </si>
  <si>
    <t>133.14</t>
  </si>
  <si>
    <t>35100</t>
  </si>
  <si>
    <t>ШУРУПЫ С ПОЛУКРУГЛОЙ ГОЛОВКОЙ 3,5Х35 ММ</t>
  </si>
  <si>
    <t>133.15</t>
  </si>
  <si>
    <t>35318</t>
  </si>
  <si>
    <t>ЭЛЕКТРОДЫ ДИАМЕТРОМ 5 ММ Э42</t>
  </si>
  <si>
    <t>133.16</t>
  </si>
  <si>
    <t>39871</t>
  </si>
  <si>
    <t>СТАЛЬ ПОЛОСОВАЯ 40Х4 ММ</t>
  </si>
  <si>
    <t>133.17</t>
  </si>
  <si>
    <t>41479</t>
  </si>
  <si>
    <t>ЛЕНТА СТЯЖНАЯ ЗУБЧАТАЯ</t>
  </si>
  <si>
    <t>133.18</t>
  </si>
  <si>
    <t>41882</t>
  </si>
  <si>
    <t>БОЛТЫ РАСПОРНЫЕ МР 12Х100</t>
  </si>
  <si>
    <t>133.19</t>
  </si>
  <si>
    <t>41883</t>
  </si>
  <si>
    <t>РУКАВА МЕТАЛЛИЧЕСКИЕ ДИАМЕТРОМ 15 ММ РЗ-Ц-Х</t>
  </si>
  <si>
    <t>133.20</t>
  </si>
  <si>
    <t>64855</t>
  </si>
  <si>
    <t>ПРИПОИ ОЛОВЯННО-СВИНЦОВЫЕ БЕССУРЬМЯНИСТЫЕ МАРКИ ПОС40</t>
  </si>
  <si>
    <t>133.21</t>
  </si>
  <si>
    <t>65312</t>
  </si>
  <si>
    <t>ТРУБКА ПОЛИХЛОРВИНИЛОВАЯ</t>
  </si>
  <si>
    <t>133.22</t>
  </si>
  <si>
    <t>97117</t>
  </si>
  <si>
    <t>СТЕКЛОЛЕНТА ЛИПКАЯ ИЗОЛЯЦИОННАЯ НА ПОЛИКАСИНОВОМ КОМПАУНДЕ МАРКИ ЛСЭПЛ, ШИРИНОЙ 20-30 ММ, ТОЛЩИНОЙ ОТ 0,14 ДО 0,19 ММ ВКЛЮЧИТЕЛЬНО</t>
  </si>
  <si>
    <t>134</t>
  </si>
  <si>
    <t>Ц0305-001-05 ДОП. 4 К=3</t>
  </si>
  <si>
    <t>ВЫЧИТАЕТСЯ ПОЗИЦИЯ: ЗА КАЖДУЮ ОСТАНОВКУ, БОЛЕЕ ИЛИ МЕНЕЕ УКАЗАННЫХ В ХАРАКТЕРИСТИКЕ ЛИФТА, ДОБАВЛЯТЬ ИЛИ УМЕНЬШАТЬ ДЛЯ ЛИФТОВ ГРУЗОПОДЪЕМНОСТЬЮ ДО 1000 КГ</t>
  </si>
  <si>
    <t>ОСТАНОВ.</t>
  </si>
  <si>
    <t>134.1</t>
  </si>
  <si>
    <t>134.2</t>
  </si>
  <si>
    <t>134.3</t>
  </si>
  <si>
    <t>134.4</t>
  </si>
  <si>
    <t>134.5</t>
  </si>
  <si>
    <t>134.6</t>
  </si>
  <si>
    <t>134.7</t>
  </si>
  <si>
    <t>134.8</t>
  </si>
  <si>
    <t>134.9</t>
  </si>
  <si>
    <t>134.10</t>
  </si>
  <si>
    <t>134.11</t>
  </si>
  <si>
    <t>134.12</t>
  </si>
  <si>
    <t>134.13</t>
  </si>
  <si>
    <t>134.14</t>
  </si>
  <si>
    <t>134.15</t>
  </si>
  <si>
    <t>134.16</t>
  </si>
  <si>
    <t>134.17</t>
  </si>
  <si>
    <t>134.18</t>
  </si>
  <si>
    <t>134.19</t>
  </si>
  <si>
    <t>134.20</t>
  </si>
  <si>
    <t>134.21</t>
  </si>
  <si>
    <t>135</t>
  </si>
  <si>
    <t>Ц0305-001-07 ДОП. 4</t>
  </si>
  <si>
    <t>ВЫЧИТАЕТСЯ ПОЗИЦИЯ: ЗА КАЖДЫЙ МЕТР ВЫСОТЫ ШАХТЫ, БОЛЕЕ ИЛИ МЕНЕЕ УКАЗАННЫХ В ХАРАКТЕРИСТИКЕ ЛИФТА, ДОБАВЛЯТЬ ИЛИ УМЕНЬШАТЬ ДЛЯ ЛИФТОВ ГРУЗОПОДЪЕМНОСТЬЮ ДО 1000 КГ</t>
  </si>
  <si>
    <t>135.1</t>
  </si>
  <si>
    <t>136</t>
  </si>
  <si>
    <t>ЦЕНА2025-17</t>
  </si>
  <si>
    <t>ЛИФТ ПАССАЖИРСКИЙ Q=1000КГ, V=1.0 М/С КАБИНА РАЗМЕРА 1100Х2100Х2100ММ</t>
  </si>
  <si>
    <t>ТРУДОВЫЕ РЕСУРСЫ</t>
  </si>
  <si>
    <t>СТРОИТЕЛЬНЫЕ МАШИНЫ И МЕХАНИЗМЫ</t>
  </si>
  <si>
    <t>МАТЕРИАЛЬНЫЕ РЕСУРСЫ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</si>
  <si>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</si>
  <si>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</si>
  <si>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</si>
  <si>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</si>
  <si>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</si>
  <si>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</si>
  <si>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</si>
  <si>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</si>
  <si>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</si>
  <si>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</si>
  <si>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</si>
  <si>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</si>
  <si>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</si>
  <si>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</si>
  <si>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</si>
  <si>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</si>
  <si>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</si>
  <si>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</si>
  <si>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</si>
  <si>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</si>
  <si>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</si>
  <si>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</si>
  <si>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</si>
  <si>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</si>
  <si>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</si>
  <si>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</si>
  <si>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</si>
  <si>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</si>
  <si>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</si>
  <si>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</si>
  <si>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</si>
  <si>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</si>
  <si>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</si>
  <si>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</si>
  <si>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</si>
  <si>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</si>
  <si>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</si>
  <si>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</si>
  <si>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</si>
  <si>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</si>
  <si>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</si>
  <si>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</si>
  <si>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</si>
  <si>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</si>
  <si>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</si>
  <si>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</si>
  <si>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</si>
  <si>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</si>
  <si>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</si>
  <si>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</si>
  <si>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</si>
  <si>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</si>
  <si>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</si>
  <si>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</si>
  <si>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ОБОРУДОВАНИЕ</t>
  </si>
  <si>
    <t>191</t>
  </si>
  <si>
    <t>СОСТАВИЛ</t>
  </si>
  <si>
    <t>А. ТАШРИПОВ</t>
  </si>
  <si>
    <t>ИТОГО ПО ТРУДОВЫМ РЕСУРСАМ:</t>
  </si>
  <si>
    <t>СУМ</t>
  </si>
  <si>
    <t>ИТОГО ПО СТРОИТЕЛЬНЫМ МАШИНАМ:</t>
  </si>
  <si>
    <t>ИТОГО ПО СТРОИТЕЛЬНЫМ МАТЕРИАЛАМ:</t>
  </si>
  <si>
    <t>ИТОГО ОБОРУДОВАНИЕ:</t>
  </si>
  <si>
    <t>ИТОГО ПО РЕСУРСНОМУ РАСЧЕТУ:</t>
  </si>
  <si>
    <t>Сметная стоимость</t>
  </si>
  <si>
    <t>Зарб. плата</t>
  </si>
  <si>
    <t>ЭММ</t>
  </si>
  <si>
    <t>Материалы</t>
  </si>
  <si>
    <t xml:space="preserve">Кабель </t>
  </si>
  <si>
    <t>Оборудов.</t>
  </si>
  <si>
    <t>на.ед.изм.</t>
  </si>
  <si>
    <t>общая</t>
  </si>
  <si>
    <t>ЛОКАЛЬНЫЙ РЕСУРСНЫЙ СМЕТНЫЙ РАСЧЕТ</t>
  </si>
  <si>
    <t>в базисном уровне</t>
  </si>
  <si>
    <t>ИТОГО ПО ЛОКАЛЬНОМУ РЕСУРСНОМУ РАСЧЕТУ, СОСТАВЛЕННОМУ НА ОСНОВЕ ЛОКАЛЬНОЙ РЕСУРСНОЙ ВЕДОМОСТИ N</t>
  </si>
  <si>
    <t>10 М2</t>
  </si>
  <si>
    <t>АР</t>
  </si>
  <si>
    <t>БЛОКА</t>
  </si>
  <si>
    <t xml:space="preserve">ВСЕГО ПО РАЗДЕЛУ: </t>
  </si>
  <si>
    <t xml:space="preserve">В том числе заработная плата </t>
  </si>
  <si>
    <t>Механизмы</t>
  </si>
  <si>
    <t>ТРАНСПОРТ   5 %</t>
  </si>
  <si>
    <t>Обородувания</t>
  </si>
  <si>
    <t>транспортные услуги оборудование 2%</t>
  </si>
  <si>
    <t>Кабельная продукция</t>
  </si>
  <si>
    <t>транспортные услуги кабеля 1,5%</t>
  </si>
  <si>
    <t>ИТОГО</t>
  </si>
  <si>
    <t>Прочие затраты  подрядчика 17,27 %</t>
  </si>
  <si>
    <t>РАЗДЕЛ</t>
  </si>
  <si>
    <t>ИТОГ</t>
  </si>
  <si>
    <t>МАТЕР</t>
  </si>
  <si>
    <t>ВК</t>
  </si>
  <si>
    <t>БЛОК А</t>
  </si>
  <si>
    <t>РАЗДЕЛ 2.ХОЛОДНЫЙ ВОДОПРОВОД В1</t>
  </si>
  <si>
    <t>Е1602-002-09 МИНСТРОЙИЖКХ 03.03.23 Г. N 42</t>
  </si>
  <si>
    <t>ПРОКЛАДКА ТРУБОПРОВОДОВ ВОДОСНАБЖЕНИЯ ИЗ СТАЛЬНЫХ ВОДОГАЗОПРОВОДНЫХ ОЦИНКОВАННЫХ ТРУБ ДИАМЕТРОМ 90 ММ</t>
  </si>
  <si>
    <t>100 М ТРУБОПРОВОДА</t>
  </si>
  <si>
    <t>32534</t>
  </si>
  <si>
    <t>ПРОВОЛОКА СВАРОЧНАЯ ЛЕГИРОВАННАЯ ДИАМЕТРОМ 4 ММ</t>
  </si>
  <si>
    <t>34211</t>
  </si>
  <si>
    <t>АЦЕТИЛЕН РАСТВОРЕННЫЙ ТЕХНИЧЕСКИЙ МАРКИ А</t>
  </si>
  <si>
    <t>ЦЕНА2023-65</t>
  </si>
  <si>
    <t>ТРУБЫ СТАЛЬНЫЕ ДИАМЕТРОМ 90Х3,5ММ</t>
  </si>
  <si>
    <t>Е1604-005-07 МИНСТРОЙИЖКХ 03.03.23 Г. N 42</t>
  </si>
  <si>
    <t>ПРОКЛАДКА ВНУТРЕННИХ ТРУБОПРОВОДОВ ВОДОСНАБЖЕНИЯ ИЗ НАПОРНЫХ ПОЛИПРОПИЛЕНОВЫХ ИЛИ ПОЛИЭТИЛЕНОВЫХ ТРУБ НА СВАРКЕ НАРУЖНЫМ ДИАМЕТРОМ ДО: 75 ММ</t>
  </si>
  <si>
    <t>3364</t>
  </si>
  <si>
    <t>СВАРОЧНЫЕ АППАРАТЫ РУЧНЫЕ ДЛЯ СВАРКИ ПЛАСТИКОВЫХ ТРУБ</t>
  </si>
  <si>
    <t>937156</t>
  </si>
  <si>
    <t>ТРУБЫ ПОЛИПРОПИЛЕНОВЫЕ ДЛЯ ХВС Д.75 ММ PN 10</t>
  </si>
  <si>
    <t>Е1604-005-06 МИНСТРОЙИЖКХ 03.03.23 Г. N 42</t>
  </si>
  <si>
    <t>ПРОКЛАДКА ВНУТРЕННИХ ТРУБОПРОВОДОВ ВОДОСНАБЖЕНИЯ ИЗ НАПОРНЫХ ПОЛИПРОПИЛЕНОВЫХ ИЛИ ПОЛИЭТИЛЕНОВЫХ ТРУБ НА СВАРКЕ НАРУЖНЫМ ДИАМЕТРОМ ДО: 63 ММ</t>
  </si>
  <si>
    <t>4.4</t>
  </si>
  <si>
    <t>4.5</t>
  </si>
  <si>
    <t>937152</t>
  </si>
  <si>
    <t>ТРУБЫ ПОЛИПРОПИЛЕНОВЫЕ ДЛЯ ХВС Д.63 ММ PN 10</t>
  </si>
  <si>
    <t>Е1604-005-05 МИНСТРОЙИЖКХ 03.03.23 Г. N 42</t>
  </si>
  <si>
    <t>ПРОКЛАДКА ВНУТРЕННИХ ТРУБОПРОВОДОВ ВОДОСНАБЖЕНИЯ ИЗ НАПОРНЫХ ПОЛИПРОПИЛЕНОВЫХ ИЛИ ПОЛИЭТИЛЕНОВЫХ ТРУБ НА СВАРКЕ НАРУЖНЫМ ДИАМЕТРОМ ДО: 50 ММ</t>
  </si>
  <si>
    <t>937149</t>
  </si>
  <si>
    <t>ТРУБЫ ПОЛИПРОПИЛЕНОВЫЕ ДЛЯ ХВС Д.50 ММ PN 10</t>
  </si>
  <si>
    <t>Е1604-005-04 МИНСТРОЙИЖКХ 03.03.23 Г. N 42</t>
  </si>
  <si>
    <t>ПРОКЛАДКА ВНУТРЕННИХ ТРУБОПРОВОДОВ ВОДОСНАБЖЕНИЯ ИЗ НАПОРНЫХ ПОЛИПРОПИЛЕНОВЫХ ИЛИ ПОЛИЭТИЛЕНОВЫХ ТРУБ НА СВАРКЕ НАРУЖНЫМ ДИАМЕТРОМ ДО: 40 ММ</t>
  </si>
  <si>
    <t>937146</t>
  </si>
  <si>
    <t>ТРУБЫ ПОЛИПРОПИЛЕНОВЫЕ ДЛЯ ХВС Д.40 ММ PN 10</t>
  </si>
  <si>
    <t>Е1604-005-02 МИНСТРОЙИЖКХ 03.03.23 Г. N 42</t>
  </si>
  <si>
    <t>ПРОКЛАДКА ВНУТРЕННИХ ТРУБОПРОВОДОВ ВОДОСНАБЖЕНИЯ ИЗ НАПОРНЫХ ПОЛИПРОПИЛЕНОВЫХ ИЛИ ПОЛИЭТИЛЕНОВЫХ ТРУБ НА СВАРКЕ НАРУЖНЫМ ДИАМЕТРОМ ДО: 25 ММ</t>
  </si>
  <si>
    <t>937140</t>
  </si>
  <si>
    <t>ТРУБЫ ПОЛИПРОПИЛЕНОВЫЕ ДЛЯ ХВС Д.25 ММ PN 10</t>
  </si>
  <si>
    <t>Е1604-005-01 МИНСТРОЙИЖКХ 03.03.23 Г. N 42</t>
  </si>
  <si>
    <t>ПРОКЛАДКА ВНУТРЕННИХ ТРУБОПРОВОДОВ ВОДОСНАБЖЕНИЯ ИЗ НАПОРНЫХ ПОЛИПРОПИЛЕНОВЫХ ИЛИ ПОЛИЭТИЛЕНОВЫХ ТРУБ НА СВАРКЕ НАРУЖНЫМ ДИАМЕТРОМ ДО: 20 ММ</t>
  </si>
  <si>
    <t>937137</t>
  </si>
  <si>
    <t>ТРУБЫ ПОЛИПРОПИЛЕНОВЫЕ ДЛЯ ХВС Д.20 ММ PN 10</t>
  </si>
  <si>
    <t>Е1806-006-07</t>
  </si>
  <si>
    <t>УСТАНОВКА НАСОСОВ РУЧНЫХ</t>
  </si>
  <si>
    <t>УЗЕЛ</t>
  </si>
  <si>
    <t>ОБОРУД</t>
  </si>
  <si>
    <t>НАСОС С ЭЛЕКТРОДВИГАТЕЛЕМ HIDRO MPC-S 3CRI 5-16 N=3,30КВТ</t>
  </si>
  <si>
    <t>Е1605-001-03 МИНСТРОЙИЖКХ 03.03.23 Г. N 42</t>
  </si>
  <si>
    <t>УСТАНОВКА ЗАДВИЖЕК ДИАМЕТРОМ 100 ММ</t>
  </si>
  <si>
    <t>35319</t>
  </si>
  <si>
    <t>ЭЛЕКТРОДЫ ДИАМЕТРОМ 5 ММ Э42А</t>
  </si>
  <si>
    <t>11.5</t>
  </si>
  <si>
    <t>52040</t>
  </si>
  <si>
    <t>БОЛТЫ С ГАЙКАМИ И ШАЙБАМИ ДЛЯ САНИТАРНО-ТЕХНИЧЕСКИХ РАБОТ, ДИАМЕТРОМ 16 ММ</t>
  </si>
  <si>
    <t>ЦЕНА2023-1</t>
  </si>
  <si>
    <t>ЗАДВИЖКИ ФЛАНЦЕВЫЕ ДИАМЕТРОМ 76 ММ</t>
  </si>
  <si>
    <t>ЗАДВИЖКИ ФЛАНЦЕВЫЕ ДИАМЕТРОМ 100 ММ</t>
  </si>
  <si>
    <t>ЦЕНА2044-70</t>
  </si>
  <si>
    <t>ФЛАНЕЦ СТАЛЬНЫЕ ДИАМЕТРОМ 76 ММ</t>
  </si>
  <si>
    <t>ФЛАНЕЦ СТАЛЬНЫЕ ДИАМЕТРОМ 100 ММ</t>
  </si>
  <si>
    <t>ЦЕНА2023-74</t>
  </si>
  <si>
    <t>ВТУЛКА ПОД ФЛАНЕЦ ДИАМЕТРОМ 76 ММ</t>
  </si>
  <si>
    <t>ВТУЛКА ПОД ФЛАНЕЦ ДИАМЕТРОМ 90 ММ</t>
  </si>
  <si>
    <t>Е1606-005-03 МИНСТРОЙИЖКХ 03.03.23 Г. N 42</t>
  </si>
  <si>
    <t>УСТАНОВКА СЧЕТЧИКОВ [ВОДОМЕРОВ] ДИАМЕТРОМ ДО 80 ММ</t>
  </si>
  <si>
    <t>СЧЕТЧИК</t>
  </si>
  <si>
    <t>ЦЕНА2023-78</t>
  </si>
  <si>
    <t>ВОДОМЕРНЫЙ УЗЕЛ С ВОДОМЕРОМ ВСКМ-76</t>
  </si>
  <si>
    <t>ЦЕНА2023-75</t>
  </si>
  <si>
    <t>КРАНЫ ШАРОВЫЕ ЛАТУННЫЕ ДИАМЕТРОМ 40 ММ</t>
  </si>
  <si>
    <t>ЦЕНА2023-76</t>
  </si>
  <si>
    <t>КРАНЫ ШАРОВЫЕ ЛАТУННЫЕ ДИАМЕТРОМ 25 ММ</t>
  </si>
  <si>
    <t>ЦЕНА2023-77</t>
  </si>
  <si>
    <t>КРАНЫ ШАРОВЫЕ ЛАТУННЫЕ ДИАМЕТРОМ 20 ММ</t>
  </si>
  <si>
    <t>КРАНЫ ШАРОВЫЕ ЛАТУННЫЕ ДЛЯ СПУСК ВОЗДУХА (ПЛОМБИРОВАННЫЙ)ДИАМЕТРОМ 25 ММ</t>
  </si>
  <si>
    <t>ЦЕНА2023-84</t>
  </si>
  <si>
    <t>ОТВОД ПП Д-75ММ</t>
  </si>
  <si>
    <t>ЦЕНА2023-83</t>
  </si>
  <si>
    <t>ОТВОД ПП Д-63ММ</t>
  </si>
  <si>
    <t>ЦЕНА2023-82</t>
  </si>
  <si>
    <t>ОТВОД ПП Д-40ММ</t>
  </si>
  <si>
    <t>ЦЕНА2023-80</t>
  </si>
  <si>
    <t>ОТВОД ПП Д-25ММ</t>
  </si>
  <si>
    <t>ЦЕНА2023-27</t>
  </si>
  <si>
    <t>ОТВОД ПП Д-20ММ</t>
  </si>
  <si>
    <t>ЦЕНА2023-85</t>
  </si>
  <si>
    <t>ТРОЙНИК ПП Д-75ММ</t>
  </si>
  <si>
    <t>ЦЕНА2023-28</t>
  </si>
  <si>
    <t>ТРОЙНИК ПП Д-20ММ</t>
  </si>
  <si>
    <t>ТРОЙНИК ПП Д-63Х25Х63ММ</t>
  </si>
  <si>
    <t>ТРОЙНИК ПП Д-50Х25Х50ММ</t>
  </si>
  <si>
    <t>ТРОЙНИК ПП Д-40Х25Х40ММ</t>
  </si>
  <si>
    <t>ТРОЙНИК ПП Д-25Х20Х25ММ</t>
  </si>
  <si>
    <t>ЦЕНА2023-86</t>
  </si>
  <si>
    <t>МУФТА ПЕРЕХОДНАЯ ПП Д-75Х63ММ</t>
  </si>
  <si>
    <t>ЦЕНА2023-35</t>
  </si>
  <si>
    <t>МУФТА ПЕРЕХОДНАЯ ПП Д-63Х50ММ</t>
  </si>
  <si>
    <t>ЦЕНА2023-88</t>
  </si>
  <si>
    <t>КЛИПСЫ ПП Д-75ММ</t>
  </si>
  <si>
    <t>ЦЕНА2023-89</t>
  </si>
  <si>
    <t>КЛИПСЫ ПП Д-63ММ</t>
  </si>
  <si>
    <t>ЦЕНА2023-90</t>
  </si>
  <si>
    <t>КЛИПСЫ ПП Д-50ММ</t>
  </si>
  <si>
    <t>ЦЕНА2023-91</t>
  </si>
  <si>
    <t>КЛИПСЫ ПП Д-40ММ</t>
  </si>
  <si>
    <t>ЦЕНА2023-93</t>
  </si>
  <si>
    <t>КЛИПСЫ ПП Д-25ММ</t>
  </si>
  <si>
    <t>ЦЕНА2023-94</t>
  </si>
  <si>
    <t>КЛИПСЫ ПП Д-20ММ</t>
  </si>
  <si>
    <t>ЦЕНА2023-95</t>
  </si>
  <si>
    <t>МУФТА СОЕДИНИТЕЛЬНАЯ ПП Д-75ММ</t>
  </si>
  <si>
    <t>ЦЕНА2023-40</t>
  </si>
  <si>
    <t>МУФТА СОЕДИНИТЕЛЬНАЯ ПП Д-63ММ</t>
  </si>
  <si>
    <t>ЦЕНА2023-41</t>
  </si>
  <si>
    <t>МУФТА СОЕДИНИТЕЛЬНАЯ ПП Д-50ММ</t>
  </si>
  <si>
    <t>ЦЕНА2023-42</t>
  </si>
  <si>
    <t>МУФТА СОЕДИНИТЕЛЬНАЯ ПП Д-40ММ</t>
  </si>
  <si>
    <t>ЦЕНА2023-44</t>
  </si>
  <si>
    <t>МУФТА СОЕДИНИТЕЛЬНАЯ ПП Д-25ММ</t>
  </si>
  <si>
    <t>ЦЕНА2023-45</t>
  </si>
  <si>
    <t>МУФТА СОЕДИНИТЕЛЬНАЯ ПП Д-20ММ</t>
  </si>
  <si>
    <t>ЦЕНА2023-98</t>
  </si>
  <si>
    <t>АДАПТЕР С НР. Д-25ММ</t>
  </si>
  <si>
    <t>ЦЕНА2023-97</t>
  </si>
  <si>
    <t>АДАПТЕР С НР. Д-25Х20ММ</t>
  </si>
  <si>
    <t>ЦЕНА2024-2</t>
  </si>
  <si>
    <t>ТЕПЛОИЗОЛЯЦИЯ "АРМОФЛЕКС" ДИАМЕТРОМ 100ММ</t>
  </si>
  <si>
    <t>ЦЕНА2024-3</t>
  </si>
  <si>
    <t>ТЕПЛОИЗОЛЯЦИЯ "АРМОФЛЕКС" ДИАМЕТРОМ 75ММ</t>
  </si>
  <si>
    <t>ЦЕНА2024-4</t>
  </si>
  <si>
    <t>ТЕПЛОИЗОЛЯЦИЯ "АРМОФЛЕКС" ДИАМЕТРОМ 63ММ</t>
  </si>
  <si>
    <t>ЦЕНА2024-5</t>
  </si>
  <si>
    <t>ТЕПЛОИЗОЛЯЦИЯ "АРМОФЛЕКС" ДИАМЕТРОМ 50ММ</t>
  </si>
  <si>
    <t>ЦЕНА2024-6</t>
  </si>
  <si>
    <t>ТЕПЛОИЗОЛЯЦИЯ "АРМОФЛЕКС" ДИАМЕТРОМ 40ММ</t>
  </si>
  <si>
    <t>ЦЕНА2024-8</t>
  </si>
  <si>
    <t>ТЕПЛОИЗОЛЯЦИЯ "АРМОФЛЕКС" ДИАМЕТРОМ 25ММ</t>
  </si>
  <si>
    <t>РАСПРИДИТЕЛЬ" ДИАМЕТРОМ 75ММ</t>
  </si>
  <si>
    <t>Е1606-005-01 МИНСТРОЙИЖКХ 03.03.23 Г. N 42</t>
  </si>
  <si>
    <t>УСТАНОВКА СЧЕТЧИКОВ [ВОДОМЕРОВ] ДИАМЕТРОМ ДО 40 ММ</t>
  </si>
  <si>
    <t>СЧЕТЧИК ХОЛОДНОЙ ВОДЫ МЕТАЛЛИЧЕСКЫЙ ДИАМЕТРОМ 20ММ</t>
  </si>
  <si>
    <t>Е1806-007-01</t>
  </si>
  <si>
    <t>УСТАНОВКА ФИЛЬТРОВ ДИАМЕТРОМ 36 ММ</t>
  </si>
  <si>
    <t>ЦЕНА2023-79</t>
  </si>
  <si>
    <t>ФИЛЬТР ДЛЯ СЧЕТЧИКА ДИАМЕТРОМ 20 ММ</t>
  </si>
  <si>
    <t>ЭКО-ЁМКОСТЬ ЦИЛИНДРИЧЕСКАЯ ВЕРТИКАЛЬНОГО ТИПА ДЛЯ ПИТЬЕВОЙ ВОДЫ ИЗ ПОЛИПРОПИЛЕНА ДИАМЕТР: 1600ММ ВЫСОТА: 2050ММ ОБЪЁМ: 4М3 (4 000 ЛИТРОВ)</t>
  </si>
  <si>
    <t>РАЗДЕЛ 3.ГОРЯЧИЙ ВОДОПРОВОД Т3</t>
  </si>
  <si>
    <t>Ц0803-602-03 МИНСТРОЙ РУЗ 05.01.21 N 2</t>
  </si>
  <si>
    <t>МОНТАЖ ВОДОНАГРЕВАТЕЛЕЙ ЭЛЕКТРИЧЕСКИХ НАКОПИТЕЛЬНЫХ (ЕМКОСТНЫХ) НАСТЕННЫХ ОБЪЕМОМ ДО 50 Л</t>
  </si>
  <si>
    <t>63.3</t>
  </si>
  <si>
    <t>2510</t>
  </si>
  <si>
    <t>АВТОМОБИЛИ БОРТОВЫЕ ГРУЗОПОДЪЕМНОСТЬЮ ДО 8 Т</t>
  </si>
  <si>
    <t>63.4</t>
  </si>
  <si>
    <t>49353</t>
  </si>
  <si>
    <t>ДЮБЕЛИ РАСПОРНЫЕ (МАРКА ПО ПРОЕКТУ)</t>
  </si>
  <si>
    <t>ЦЕНА2024-10</t>
  </si>
  <si>
    <t>ЭЛЕКТРИЧЕСКИЙ ВОДОНАГРЕВАТЕЛЬ 1,5КВТ 50Л</t>
  </si>
  <si>
    <t>Ц0803-602-05 МИНСТРОЙ РУЗ 05.01.21 N 2</t>
  </si>
  <si>
    <t>МОНТАЖ ВОДОНАГРЕВАТЕЛЕЙ ЭЛЕКТРИЧЕСКИХ НАКОПИТЕЛЬНЫХ (ЕМКОСТНЫХ) НАСТЕННЫХ ОБЪЕМОМ СВЫШЕ 100 Л</t>
  </si>
  <si>
    <t>65.4</t>
  </si>
  <si>
    <t>ЦЕНА2024-11</t>
  </si>
  <si>
    <t>СОЛНЕЧНЫЙ ВОДОНАГРЕВАТЕЛЬ HWH-35-300</t>
  </si>
  <si>
    <t>КОМП</t>
  </si>
  <si>
    <t>ЦЕНА2025-4</t>
  </si>
  <si>
    <t>КОНТРОЛЛЕР ДЛЯ СОЛНЕЧНОГО КОЛЛЕКТОРА</t>
  </si>
  <si>
    <t>68.3</t>
  </si>
  <si>
    <t>68.4</t>
  </si>
  <si>
    <t>68.5</t>
  </si>
  <si>
    <t>15495</t>
  </si>
  <si>
    <t>ТРУБЫ ПОЛИПРОПИЛЕНОВЫЕ ГОРЯЧЕГО ВОДОСНАБЖЕНИЯ PN 20 Д.63 ММ</t>
  </si>
  <si>
    <t>69.5</t>
  </si>
  <si>
    <t>937123</t>
  </si>
  <si>
    <t>ТРУБЫ ПОЛИПРОПИЛЕНОВЫЕ ГОРЯЧЕГО ВОДОСНАБЖЕНИЯ PN 20 Д.25 ММ</t>
  </si>
  <si>
    <t>937122</t>
  </si>
  <si>
    <t>ТРУБЫ ПОЛИПРОПИЛЕНОВЫЕ ГОРЯЧЕГО ВОДОСНАБЖЕНИЯ PN 20 Д.20 ММ</t>
  </si>
  <si>
    <t>КРАНЫ ШАРОВЫЕ ЛАТУННЫЕ ДИАМЕТРОМ 63 ММ</t>
  </si>
  <si>
    <t>ПЕРЕХОДНИК ПП Д-63Х25ММ</t>
  </si>
  <si>
    <t>ПЕРЕХОДНИК ПП Д-25Х20ММ</t>
  </si>
  <si>
    <t>ЦЕНА2024-15</t>
  </si>
  <si>
    <t>МУФТА ПП КОМБИНИРОВАННАЯ С НАРУЖНОЙ РЕЗЬБОЙ С КРЕПЕЖОМ Д-25ММ</t>
  </si>
  <si>
    <t>ЦЕНА2024-16</t>
  </si>
  <si>
    <t>МУФТА ПП КОМБИНИРОВАННАЯ С НАРУЖНОЙ РЕЗЬБОЙ С КРЕПЕЖОМ Д-20ММ</t>
  </si>
  <si>
    <t>ЦЕНА2024-17</t>
  </si>
  <si>
    <t>МУФТА ПП КОМБИНИРОВАННАЯ С НАРУЖНОЙ РЕЗЬБОЙ С КРЕПЕЖОМ Д-25Х20ММ</t>
  </si>
  <si>
    <t>ЦЕНА2024-18</t>
  </si>
  <si>
    <t>УГОЛ ПП КОМБИНИРОВАННАЯ С НАРУЖНОЙ РЕЗЬБОЙ С КРЕПЕЖОМ Д-20ММ</t>
  </si>
  <si>
    <t>ЦЕНА2024-19</t>
  </si>
  <si>
    <t>ТЕПЛОИЗОЛЯЦИЯ "АРМОФЛЕКС" ДИАМЕТРОМ-25ММ</t>
  </si>
  <si>
    <t>СЧЕТЧИК ГОРЯЧИЙ ВОДЫ МЕТАЛЛИЧЕСКЫЙ ДИАМЕТРОМ 20ММ</t>
  </si>
  <si>
    <t>96.1</t>
  </si>
  <si>
    <t>96.2</t>
  </si>
  <si>
    <t>96.3</t>
  </si>
  <si>
    <t>96.4</t>
  </si>
  <si>
    <t>РАЗДЕЛ 4.КАНАЛИЗАЦИЯ К1</t>
  </si>
  <si>
    <t>Е1604-001-02 МИНСТРОЙИЖКХ 03.03.23 Г. N 42</t>
  </si>
  <si>
    <t>ПРОКЛАДКА ТРУБОПРОВОДОВ КАНАЛИЗАЦИИ ИЗ ПОЛИЭТИЛЕНОВЫХ ТРУБ ВЫСОКОЙ ПЛОТНОСТИ ДИАМЕТРОМ 100 ММ</t>
  </si>
  <si>
    <t>45604</t>
  </si>
  <si>
    <t>УЗЛЫ УКРУПНЕННЫЕ МОНТАЖНЫЕ (ТРУБОПРОВОДЫ) ИЗ ПОЛИЭТИЛЕНОВЫХ КАНАЛИЗАЦИОННЫХ ТРУБ И ФАСОННЫХ ЧАСТЕЙ К НИМ, ДИАМЕТРОМ 100 ММ</t>
  </si>
  <si>
    <t>Е1604-001-01 МИНСТРОЙИЖКХ 03.03.23 Г. N 42</t>
  </si>
  <si>
    <t>ПРОКЛАДКА ТРУБОПРОВОДОВ КАНАЛИЗАЦИИ ИЗ ПОЛИЭТИЛЕНОВЫХ ТРУБ ВЫСОКОЙ ПЛОТНОСТИ ДИАМЕТРОМ 50 ММ</t>
  </si>
  <si>
    <t>45603</t>
  </si>
  <si>
    <t>УЗЛЫ УКРУПНЕННЫЕ МОНТАЖНЫЕ (ТРУБОПРОВОДЫ) ИЗ ПОЛИЭТИЛЕНОВЫХ КАНАЛИЗАЦИОННЫХ ТРУБ И ФАСОННЫХ ЧАСТЕЙ К НИМ, ДИАМЕТРОМ 50 ММ</t>
  </si>
  <si>
    <t>ЦЕНА2024-21</t>
  </si>
  <si>
    <t>РЕВИЗИЯ ПЭ ДИАМЕТРОМ-110ММ</t>
  </si>
  <si>
    <t>ЦЕНА2024-22</t>
  </si>
  <si>
    <t>ОТВОД ПЭ ДИАМЕТРОМ-110ММ</t>
  </si>
  <si>
    <t>ЦЕНА2024-23</t>
  </si>
  <si>
    <t>ОТВОД ПЭ ДИАМЕТРОМ-50ММ</t>
  </si>
  <si>
    <t>ЦЕНА2024-24</t>
  </si>
  <si>
    <t>ТРОЙНИК КОСОЙ ПЭ ДИАМЕТРОМ-110ММ</t>
  </si>
  <si>
    <t>ЦЕНА2024-25</t>
  </si>
  <si>
    <t>ТРОЙНИК КОСОЙ ПЭ ДИАМЕТРОМ-110Х50Х110ММ</t>
  </si>
  <si>
    <t>ЦЕНА2025-1</t>
  </si>
  <si>
    <t>КОСОЙ ТРОЙНИК КОСОЙ ПЭ 45ГР. ДИАМЕТРОМ-50Х50Х50ММ</t>
  </si>
  <si>
    <t>ЦЕНА2024-99</t>
  </si>
  <si>
    <t>ТРОЙНИК ПЭ ДИАМЕТРОМ-100Х100Х100ММ</t>
  </si>
  <si>
    <t>ЦЕНА2024-98</t>
  </si>
  <si>
    <t>ТРОЙНИК ПЭ ДИАМЕТРОМ-50Х50Х50ММ</t>
  </si>
  <si>
    <t>ЦЕНА2024-28</t>
  </si>
  <si>
    <t>МУФТА ПЕРЕХОДНАЯ ПЭ ДИАМЕТРОМ-110Х50ММ</t>
  </si>
  <si>
    <t>ЦЕНА2024-30</t>
  </si>
  <si>
    <t>ГИЛЬЗЫ СТАЛЬНЫЕ ИЗ ТРУБ ДИАМЕТРОМ-133Х4 L-0,4М</t>
  </si>
  <si>
    <t>ЦЕНА2025-2</t>
  </si>
  <si>
    <t>КРЕПЛЕНИЕ ТРУБ (ХОМУТ)ДИАМЕТРОМ-100ММ</t>
  </si>
  <si>
    <t>ЦЕНА2025-3</t>
  </si>
  <si>
    <t>КРЕПЛЕНИЕ ТРУБ (ХОМУТ)ДИАМЕТРОМ-50ММ</t>
  </si>
  <si>
    <t>ЦЕНА2024-29</t>
  </si>
  <si>
    <t>КРЕСТОВИНА ПЭ ДИАМЕТРОМ-110ММ</t>
  </si>
  <si>
    <t>РАЗДЕЛ 5.БЫТОВАЯ КАНАЛИЗАЦИЯ КН2</t>
  </si>
  <si>
    <t>Е2301-020-01 ДОП. 6</t>
  </si>
  <si>
    <t>УКЛАДКА КАНАЛИЗАЦИОННЫХ ТРУБ ИЗ ПОЛИЭТИЛЕНА ДИАМЕТРОМ 50 ММ</t>
  </si>
  <si>
    <t>87896</t>
  </si>
  <si>
    <t>ТРУБЫ ИЗ ПОЛИЭТИЛЕНА ДИАМЕТРОМ 50 ММ</t>
  </si>
  <si>
    <t>115.1</t>
  </si>
  <si>
    <t>115.2</t>
  </si>
  <si>
    <t>115.3</t>
  </si>
  <si>
    <t>ЦЕНА2024-31</t>
  </si>
  <si>
    <t>ГНОМ 10-10ТР, Q=10 М3/ЧАС, N=1,1 КВТ</t>
  </si>
  <si>
    <t>ЦЕНА2024-32</t>
  </si>
  <si>
    <t>ОБРАТНЫЙ КЛАПАН ДИАМЕТРОМ-50ММ</t>
  </si>
  <si>
    <t>РАЗДЕЛ 6.САНИТАРНО-ТЕХНИЧЕСКОЕ ОБОРУДОВАНИЕ</t>
  </si>
  <si>
    <t>Е1701-009-14МИНСТРОЙ РУЗ 05.01.21 N 2</t>
  </si>
  <si>
    <t>УСТАНОВКА УМЫВАЛЬНИКОВ ОДИНОЧНЫХ С ПОДВОДКОЙ ХОЛОДНОЙ И ГОРЯЧЕЙ ВОДЫ</t>
  </si>
  <si>
    <t>10КОМПЛ.</t>
  </si>
  <si>
    <t>118.1</t>
  </si>
  <si>
    <t>118.2</t>
  </si>
  <si>
    <t>118.3</t>
  </si>
  <si>
    <t>118.4</t>
  </si>
  <si>
    <t>15480</t>
  </si>
  <si>
    <t>ПОДВОДКА ГИБКАЯ (ТИП, ДИАМЕТР И ДЛИНА ПО ПРОЕКТУ)</t>
  </si>
  <si>
    <t>КОМПЛ</t>
  </si>
  <si>
    <t>118.5</t>
  </si>
  <si>
    <t>30435</t>
  </si>
  <si>
    <t>ДЮБЕЛИ РАСПОРНЫЕ ПОЛИЭТИЛЕНОВЫЕ</t>
  </si>
  <si>
    <t>118.6</t>
  </si>
  <si>
    <t>58129</t>
  </si>
  <si>
    <t>УМЫВАЛЬНИКИ</t>
  </si>
  <si>
    <t>Е1701-012-01МИНСТРОЙ РУЗ 05.01.21 N 2</t>
  </si>
  <si>
    <t>УСТАНОВКА МОЕК НА ОДНО ОТДЕЛЕНИЕ</t>
  </si>
  <si>
    <t>119.5</t>
  </si>
  <si>
    <t>65851</t>
  </si>
  <si>
    <t>ШУРУПЫ СТРОИТЕЛЬНЫЕ</t>
  </si>
  <si>
    <t>119.6</t>
  </si>
  <si>
    <t>444286</t>
  </si>
  <si>
    <t>МОЙКА НА ОДНО ОТДЕЛЕНИЕ ПО ПРОЕКТУ</t>
  </si>
  <si>
    <t>Е1701-009-04МИНСТРОЙ РУЗ 05.01.21 N 2</t>
  </si>
  <si>
    <t>УСТАНОВКА ВАНН КУПАЛЬНЫХ ПРЯМЫХ ПЛАСТИКОВЫХ</t>
  </si>
  <si>
    <t>444254</t>
  </si>
  <si>
    <t>ВАННА КУПАЛЬНАЯ ПРЯМАЯ ПЛАСТИКОВАЯ РАЗМЕР ПО ПРОЕКТУ</t>
  </si>
  <si>
    <t>Е1701-010-01МИНСТРОЙ РУЗ 05.01.21 N 2</t>
  </si>
  <si>
    <t>УСТАНОВКА УНИТАЗОВ С БАЧКОМ НЕПОСРЕДСТВЕННО ПРИСОЕДИНЕННЫМ</t>
  </si>
  <si>
    <t>121.7</t>
  </si>
  <si>
    <t>74741</t>
  </si>
  <si>
    <t>УНИТАЗ С БАЧКОМ НЕПОСРЕДСТВЕННО ПРИСОЕДИНЕННЫМ</t>
  </si>
  <si>
    <t>Е1701-002-03</t>
  </si>
  <si>
    <t>УСТАНОВКА СМЕСИТЕЛЕЙ</t>
  </si>
  <si>
    <t>ЦЕНА2024-33</t>
  </si>
  <si>
    <t>СМЕСИТЕЛЬ ДЛЯ УМЫВАЛЬНИКА</t>
  </si>
  <si>
    <t>ЦЕНА2024-34</t>
  </si>
  <si>
    <t>СМЕСИТЕЛЬ ДЛЯ МОЙКИ</t>
  </si>
  <si>
    <t>ЦЕНА2024-35</t>
  </si>
  <si>
    <t>СМЕСИТЕЛЬ ДЛЯ ВАННЫ</t>
  </si>
  <si>
    <t>АРХИТЕКТУРНАЯ ЧАСТЬ, ВОДОПРОВОД И КАНАЛИЗАЦИЯ</t>
  </si>
  <si>
    <t>КЧ</t>
  </si>
  <si>
    <t>РАЗДЕЛ 2.ЗЕМЛЯНЫЕ РАБОТЫ КЖ-2</t>
  </si>
  <si>
    <t>РАЗДЕЛЬ</t>
  </si>
  <si>
    <t>Е0101-007-02 ДОП. 3</t>
  </si>
  <si>
    <t>РАЗРАБОТКА ГРУНТА В ОТВАЛ В КОТЛОВАНАХ ОБЪЕМОМ ДО 1000 М3 ЭКСКАВАТОРАМИ С КОВШОМ ВМЕСТИМОСТЬЮ 0,5 (0,5-0,63) М3, ГРУППА ГРУНТОВ: 2</t>
  </si>
  <si>
    <t>1000М3</t>
  </si>
  <si>
    <t>ЗАТРАТЫ ТРУДА МАШИНИСТОВ</t>
  </si>
  <si>
    <t>2263</t>
  </si>
  <si>
    <t>ЭКСКАВАТОРЫ ОДНОКОВШОВЫЕ ДИЗЕЛЬНЫЕ НА ГУСЕНИЧНОМ ХОДУ ПРИ РАБОТЕ НА ДРУГИХ ВИДАХ СТРОИТЕЛЬСТВА (КРОМЕ ВОДОХОЗЯЙСТВЕННОГО) 0,5 М3</t>
  </si>
  <si>
    <t>Е0102-057-02</t>
  </si>
  <si>
    <t>РАЗРАБОТКА ГРУНТА ВРУЧНУЮ В ТРАНШЕЯХ ГЛУБИНОЙ ДО 2 М БЕЗ КРЕПЛЕНИЙ С ОТКОСАМИ, ГРУППА ГРУНТОВ 2</t>
  </si>
  <si>
    <t>100М3</t>
  </si>
  <si>
    <t>Е0101-033-04</t>
  </si>
  <si>
    <t>ЗАСЫПКА ТРАНШЕЙ И КОТЛОВАНОВ С ПЕРЕМЕЩЕНИЕМ ГРУНТА ДО 5 М БУЛЬДОЗЕРАМИ МОЩНОСТЬЮ 79 [108] КВТ [Л.С.], 1 ГРУППА ГРУНТОВ</t>
  </si>
  <si>
    <t>258</t>
  </si>
  <si>
    <t>БУЛЬДОЗЕРЫ ПРИ РАБОТЕ НА ДРУГИХ ВИДАХ СТРОИТЕЛЬСТВА 79 (108) КВТ (Л.С.)</t>
  </si>
  <si>
    <t>Е310-1010 ШНК4.04.06-14 Р.3.Т.7 К=0,41</t>
  </si>
  <si>
    <t>ПЕРЕВОЗКА ГРУЗОВ АВТОМОБИЛЕМ, РАССТОЯНИЕ ПЕРЕВОЗКИ 10 КМ, КЛАСС ГРУЗА 1. ПРИ ПЕРЕВОЗКЕ АВТОСАМОСВАЛАМИ ГРУЗОПОДЪЕМНОСТЬЮ 25, ПРИМЕНЕН КОЭФФИЦИЕНТ К НОРМАМ ЗАТРАТ ТРУДА МАШИНИСТОВ И ЭКСПЛУАТАЦИИ МАШИН - 0,41</t>
  </si>
  <si>
    <t>3457</t>
  </si>
  <si>
    <t>АВТОМОБИЛИ-САМОСВАЛЫ ГРУЗОПОДЪЕМНОСТЬЮ ДО 25 Т</t>
  </si>
  <si>
    <t>РАЗДЕЛ 3.ПОДГОТОВКА ПОД ФУНДАМЕНТА И ГИДРОИЗОЛЯЦИЯ ГОРИЗОНТАЛЬНЫХ КЖ-3</t>
  </si>
  <si>
    <t>Е0102-010-01</t>
  </si>
  <si>
    <t>УСТРОЙСТВО ГРУНТОВЫХ ПОДУШЕК НА ПРОСАДОЧНЫХ ГРУНТАХ МЕТОДОМ ПОСЛОЙНОЙ УКАТКИ</t>
  </si>
  <si>
    <t>613</t>
  </si>
  <si>
    <t>КАТКИ ДОРОЖНЫЕ ПРИЦЕПНЫЕ КУЛАЧКОВЫЕ 8 Т</t>
  </si>
  <si>
    <t>621</t>
  </si>
  <si>
    <t>КАТКИ ДОРОЖНЫЕ САМОХОДНЫЕ ГЛАДКИЕ 8 Т</t>
  </si>
  <si>
    <t>6.6</t>
  </si>
  <si>
    <t>1135</t>
  </si>
  <si>
    <t>МАШИНЫ ПОЛИВОМОЕЧНЫЕ 6000 Л</t>
  </si>
  <si>
    <t>6.7</t>
  </si>
  <si>
    <t>1669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</si>
  <si>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</si>
  <si>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6.8</t>
  </si>
  <si>
    <t>1834</t>
  </si>
  <si>
    <t>ТРАКТОРЫ НА ГУСЕНИЧНОМ ХОДУ ПРИ РАБОТЕ НА ДРУГИХ ВИДАХ СТРОИТЕЛЬСТВА (КРОМЕ ВОДОХОЗЯЙСТВЕННОГО) ДО 59 (80) КВТ (Л.С.)</t>
  </si>
  <si>
    <t>6.9</t>
  </si>
  <si>
    <t>1835</t>
  </si>
  <si>
    <t>ТРАКТОРЫ НА ГУСЕНИЧНОМ ХОДУ 79 (108) КВТ (Л.С.)</t>
  </si>
  <si>
    <t>6.10</t>
  </si>
  <si>
    <t>9219</t>
  </si>
  <si>
    <t>ВОДА</t>
  </si>
  <si>
    <t>МАТЕРИАЛ</t>
  </si>
  <si>
    <t>ЦЕНА2026-99</t>
  </si>
  <si>
    <t>ГПС</t>
  </si>
  <si>
    <t>Е0601-001-01 ДОП. 3</t>
  </si>
  <si>
    <t>УСТРОЙСТВО БЕТОННОЙ ПОДГОТОВКИ</t>
  </si>
  <si>
    <t>403</t>
  </si>
  <si>
    <t>ВИБРАТОРЫ ГЛУБИННЫЕ</t>
  </si>
  <si>
    <t>8.6</t>
  </si>
  <si>
    <t>6312</t>
  </si>
  <si>
    <t>БЕТОН ТЯЖЕЛЫЙ КЛАССА В7,5 /М-100/ ФРАКЦИИ 5-20 ММ</t>
  </si>
  <si>
    <t>100М2</t>
  </si>
  <si>
    <t>9.5</t>
  </si>
  <si>
    <t>9.6</t>
  </si>
  <si>
    <t>9.7</t>
  </si>
  <si>
    <t>9.8</t>
  </si>
  <si>
    <t>448662</t>
  </si>
  <si>
    <t>ИЗОЛ ТПП (ТОЛЩИНА 3 ММ, ОСНОВА - СТЕКЛОТКАНЬ, ВЕРХНИЙ ЗАЩИТНЫЙ СЛОЙ - ПОЛИЭТИЛЕНОВАЯ ПЛЕНКА, РУЛОН 10 М2)</t>
  </si>
  <si>
    <t>10.5</t>
  </si>
  <si>
    <t>10.6</t>
  </si>
  <si>
    <t>10.7</t>
  </si>
  <si>
    <t>404</t>
  </si>
  <si>
    <t>ВИБРАТОРЫ ПОВЕРХНОСТНЫЕ</t>
  </si>
  <si>
    <t>РАЗДЕЛ 4.ВЕРТИКАЛЬНЫЙ ГИДРОИЗОЛЯЦИЯ КЖ-3</t>
  </si>
  <si>
    <t>Е1202-002-04 МИНСТРОЙ РУЗ 05.01.21 N 3</t>
  </si>
  <si>
    <t>УСТРОЙСТВО ГИДРОИЗОЛЯЦИЙ ВЕРТИКАЛЬНЫХ ПОВЕРХНОСТЕЙ. ОКЛЕЕЧНАЯ В ДВА СЛОЯ ПО ВЫРОВНЕННОЙ ПОВЕРХНОСТИ КИРПИЧА И БЕТОНА</t>
  </si>
  <si>
    <t>13.1</t>
  </si>
  <si>
    <t>13.2</t>
  </si>
  <si>
    <t>13.3</t>
  </si>
  <si>
    <t>13.4</t>
  </si>
  <si>
    <t>13.5</t>
  </si>
  <si>
    <t>32104</t>
  </si>
  <si>
    <t>МАСТИКА БИТУМНАЯ КРОВЕЛЬНАЯ ГОРЯЧАЯ</t>
  </si>
  <si>
    <t>13.6</t>
  </si>
  <si>
    <t>448942</t>
  </si>
  <si>
    <t>ПОЛИИЗОЛ ТПП ДЛЯ ГИДРОИЗОЛЯЦИИ, ПОДСТИЛАЮЩИЙ СЛОЙ (ВЕРХНИЙ ЗАЩИТНЫЙ СЛОЙ-ПОЛИЭТИЛЕНОВАЯ ПЛЕНКА, ОСНОВА-СТЕКЛОТКАНЬ КАРКАСНАЯ ОСОБО ПРОЧНАЯ, РУЛОН 10 М2, ТОЛЩ. 3 ММ)</t>
  </si>
  <si>
    <t xml:space="preserve">10 М2 </t>
  </si>
  <si>
    <t>14.1</t>
  </si>
  <si>
    <t>14.2</t>
  </si>
  <si>
    <t>14.3</t>
  </si>
  <si>
    <t>ЦЕНА2021-88</t>
  </si>
  <si>
    <t>ПРИЖИМНАЯ ПЛАСТИНКА ИЗ ЭКСТРУДИРОВАННОГО ПЕНОПЛЕКС ТОЛЩИНОЙ 50ММ</t>
  </si>
  <si>
    <t>РАЗДЕЛ 5.ФУНДАМЕНТНАЯ ПЛИТА КЖ-4...11</t>
  </si>
  <si>
    <t>Е0601-001-16 ДОП. 3</t>
  </si>
  <si>
    <t>УСТРОЙСТВО ФУНДАМЕНТНЫХ ПЛИТ ЖЕЛЕЗОБЕТОННЫХ ПЛОСКИХ</t>
  </si>
  <si>
    <t>1571</t>
  </si>
  <si>
    <t>ПИЛА ЭЛЕКТРИЧЕСКАЯ ЦЕПНАЯ</t>
  </si>
  <si>
    <t>16.7</t>
  </si>
  <si>
    <t>6326</t>
  </si>
  <si>
    <t>БЕТОН ТЯЖЕЛЫЙ КЛАССА В20 /М-250/ ФРАКЦИИ 5-10 ММ</t>
  </si>
  <si>
    <t>16.8</t>
  </si>
  <si>
    <t>16.9</t>
  </si>
  <si>
    <t>16.10</t>
  </si>
  <si>
    <t>16.11</t>
  </si>
  <si>
    <t>36061</t>
  </si>
  <si>
    <t>ДОСКИ ОБРЕЗНЫЕ ХВОЙНЫХ ПОРОД ДЛИНОЙ 4-6,5 М, ШИРИНОЙ 75-150 ММ, ТОЛЩИНОЙ 44 ММ И БОЛЕЕ, III СОРТА</t>
  </si>
  <si>
    <t>16.12</t>
  </si>
  <si>
    <t>51620</t>
  </si>
  <si>
    <t>ЩИТЫ ИЗ ДОСОК ТОЛЩИНОЙ 40 ММ</t>
  </si>
  <si>
    <t>ЦЕНА2021-3</t>
  </si>
  <si>
    <t>ГОРЯЧЕКАТАННАЯ АРМАТУРНАЯ СТАЛЬ КЛАССА А-3 ДИАМЕТРОМ 10ММ</t>
  </si>
  <si>
    <t>ГОРЯЧЕКАТАННАЯ АРМАТУРНАЯ СТАЛЬ КЛАССА А-3 ДИАМЕТРОМ 12ММ</t>
  </si>
  <si>
    <t>ГОРЯЧЕКАТАННАЯ АРМАТУРНАЯ СТАЛЬ КЛАССА А-3 ДИАМЕТРОМ 14ММ</t>
  </si>
  <si>
    <t>ГОРЯЧЕКАТАННАЯ АРМАТУРНАЯ СТАЛЬ КЛАССА А-3 ДИАМЕТРОМ 16ММ</t>
  </si>
  <si>
    <t>ГОРЯЧЕКАТАННАЯ АРМАТУРНАЯ СТАЛЬ КЛАССА А-3 ДИАМЕТРОМ 20ММ</t>
  </si>
  <si>
    <t>РАЗДЕЛ 6.ВЫПУСКИ ДЛЯ КОЛОННЫ КЖ-12</t>
  </si>
  <si>
    <t>РАЗДЕЛ 7.СТЕНЫ ПОДВАЛА КЖ-13...16</t>
  </si>
  <si>
    <t>Е0601-031-03</t>
  </si>
  <si>
    <t>УСТРОЙСТВО ЖЕЛЕЗОБЕТОННЫХ СТЕН И ПЕРЕГОРОДОК ВЫСОТОЙ ДО 3 М, ТОЛЩИНОЙ 200 ММ</t>
  </si>
  <si>
    <t>23.5</t>
  </si>
  <si>
    <t>23.6</t>
  </si>
  <si>
    <t>23.7</t>
  </si>
  <si>
    <t>23.8</t>
  </si>
  <si>
    <t>23.9</t>
  </si>
  <si>
    <t>23.10</t>
  </si>
  <si>
    <t>6888</t>
  </si>
  <si>
    <t>БЕТОН ТЯЖЕЛЫЙ КЛАССА В25 /М-350/</t>
  </si>
  <si>
    <t>23.11</t>
  </si>
  <si>
    <t>БОЛТЫ СТРОИТЕЛЬНЫЕ С ГАЙКАМИ И ШАЙБАМИ (ПО ПРОЕКТУ)</t>
  </si>
  <si>
    <t>23.12</t>
  </si>
  <si>
    <t>23.13</t>
  </si>
  <si>
    <t>23.14</t>
  </si>
  <si>
    <t>36025</t>
  </si>
  <si>
    <t>БРУСКИ ОБРЕЗНЫЕ ХВОЙНЫХ ПОРОД ДЛИНОЙ 4-6,5 М, ШИРИНОЙ 75-150 ММ, ТОЛЩИНОЙ 40-75 ММ, III СОРТА</t>
  </si>
  <si>
    <t>23.15</t>
  </si>
  <si>
    <t>23.16</t>
  </si>
  <si>
    <t>51619</t>
  </si>
  <si>
    <t>ЩИТЫ ИЗ ДОСОК ТОЛЩИНОЙ 25 ММ</t>
  </si>
  <si>
    <t>ГОРЯЧЕКАТАННАЯ АРМАТУРНАЯ СТАЛЬ КЛАССА А-1 ДИАМЕТРОМ 6ММ</t>
  </si>
  <si>
    <t>ГОРЯЧЕКАТАННАЯ АРМАТУРНАЯ СТАЛЬ КЛАССА А-1 ДИАМЕТРОМ 8ММ</t>
  </si>
  <si>
    <t>РАЗДЕЛ 8.ДЖМ КЖ-20...29</t>
  </si>
  <si>
    <t>28.5</t>
  </si>
  <si>
    <t>28.6</t>
  </si>
  <si>
    <t>28.7</t>
  </si>
  <si>
    <t>28.8</t>
  </si>
  <si>
    <t>28.9</t>
  </si>
  <si>
    <t>28.10</t>
  </si>
  <si>
    <t>28.11</t>
  </si>
  <si>
    <t>28.12</t>
  </si>
  <si>
    <t>28.13</t>
  </si>
  <si>
    <t>28.14</t>
  </si>
  <si>
    <t>28.15</t>
  </si>
  <si>
    <t>28.16</t>
  </si>
  <si>
    <t>РАЗДЕЛ 9.ПЕРЕКРЫТИЯ МОНОЛИТНЫЕ НА ОТМ -0,080 КЖ-31...34</t>
  </si>
  <si>
    <t>Е0601-041-12 ДОП. 11 ГОСАРХИТЕКТСТРОЙ РУЗ ПР. № 429 ОТ 15.12.17 Г.</t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</si>
  <si>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200 ММ</t>
  </si>
  <si>
    <t>33.5</t>
  </si>
  <si>
    <t>33.6</t>
  </si>
  <si>
    <t>33.7</t>
  </si>
  <si>
    <t>33.8</t>
  </si>
  <si>
    <t>33.9</t>
  </si>
  <si>
    <t>33.10</t>
  </si>
  <si>
    <t>33.11</t>
  </si>
  <si>
    <t>33.12</t>
  </si>
  <si>
    <t>33.13</t>
  </si>
  <si>
    <t>33.14</t>
  </si>
  <si>
    <t>36053</t>
  </si>
  <si>
    <t>ДОСКИ ОБРЕЗНЫЕ ХВОЙНЫХ ПОРОД ДЛИНОЙ 4-6,5 М, ШИРИНОЙ 75-150 ММ, ТОЛЩИНОЙ 25 ММ, III СОРТА</t>
  </si>
  <si>
    <t>33.15</t>
  </si>
  <si>
    <t>33.16</t>
  </si>
  <si>
    <t>ГОРЯЧЕКАТАННАЯ АРМАТУРНАЯ СТАЛЬ КЛАССА А-3 ДИАМЕТРОМ 18ММ</t>
  </si>
  <si>
    <t>ЦЕНА2021-89</t>
  </si>
  <si>
    <t>ФИКСАТОР ДЛЯ ЗАЩИТНОГО СЛОЯ</t>
  </si>
  <si>
    <t>РАЗДЕЛ 10.ПЕРЕКРЫТИЯ МОНОЛИТНЫЕ НА ОТМ +3,020; +6,120; +9,220; +12,320; +15,420 КЖ-36...41</t>
  </si>
  <si>
    <t>39.6</t>
  </si>
  <si>
    <t>39.7</t>
  </si>
  <si>
    <t>39.8</t>
  </si>
  <si>
    <t>39.9</t>
  </si>
  <si>
    <t>39.10</t>
  </si>
  <si>
    <t>39.11</t>
  </si>
  <si>
    <t>39.12</t>
  </si>
  <si>
    <t>39.13</t>
  </si>
  <si>
    <t>39.14</t>
  </si>
  <si>
    <t>39.15</t>
  </si>
  <si>
    <t>39.16</t>
  </si>
  <si>
    <t>РАЗДЕЛ 11.ПЕРЕКРЫТИЯ МОНОЛИТНЫЕ НА ОТМ +18,520; +21,620; +24,720 КЖ-43...48</t>
  </si>
  <si>
    <t>46.5</t>
  </si>
  <si>
    <t>46.6</t>
  </si>
  <si>
    <t>46.7</t>
  </si>
  <si>
    <t>46.8</t>
  </si>
  <si>
    <t>46.9</t>
  </si>
  <si>
    <t>46.10</t>
  </si>
  <si>
    <t>46.11</t>
  </si>
  <si>
    <t>46.12</t>
  </si>
  <si>
    <t>46.13</t>
  </si>
  <si>
    <t>46.14</t>
  </si>
  <si>
    <t>46.15</t>
  </si>
  <si>
    <t>46.16</t>
  </si>
  <si>
    <t>РАЗДЕЛ 12.ПЕРЕКРЫТИЯ МОНОЛИТНЫЕ НА ОТМ +27,820 КЖ-50...55</t>
  </si>
  <si>
    <t>53.3</t>
  </si>
  <si>
    <t>53.4</t>
  </si>
  <si>
    <t>53.5</t>
  </si>
  <si>
    <t>53.6</t>
  </si>
  <si>
    <t>53.7</t>
  </si>
  <si>
    <t>53.8</t>
  </si>
  <si>
    <t>53.9</t>
  </si>
  <si>
    <t>53.10</t>
  </si>
  <si>
    <t>53.11</t>
  </si>
  <si>
    <t>53.12</t>
  </si>
  <si>
    <t>53.13</t>
  </si>
  <si>
    <t>53.14</t>
  </si>
  <si>
    <t>53.15</t>
  </si>
  <si>
    <t>53.16</t>
  </si>
  <si>
    <t>РАЗДЕЛ 13.ПЕРЕКРЫТИЯ МОНОЛИТНЫЕ НА ОТМ +30,500 КЖ-55А</t>
  </si>
  <si>
    <t>60.7</t>
  </si>
  <si>
    <t>60.8</t>
  </si>
  <si>
    <t>60.9</t>
  </si>
  <si>
    <t>60.10</t>
  </si>
  <si>
    <t>60.11</t>
  </si>
  <si>
    <t>60.12</t>
  </si>
  <si>
    <t>60.13</t>
  </si>
  <si>
    <t>60.14</t>
  </si>
  <si>
    <t>60.15</t>
  </si>
  <si>
    <t>60.16</t>
  </si>
  <si>
    <t>ДВУХТАВР №20 (МОНОРЕЛС МРС-1)</t>
  </si>
  <si>
    <t>СТАЛЬНОЙ ЛИСТ ТОЛЩИНОЙ 8ММ</t>
  </si>
  <si>
    <t>БОЛТЫ 16Х250ММ</t>
  </si>
  <si>
    <t>РАЗДЕЛ 14.ПЕРЕКРЫТИЯ МОНОЛИТНЫЕ НА ОТМ -1,500 КЖ-55А</t>
  </si>
  <si>
    <t>67.3</t>
  </si>
  <si>
    <t>67.4</t>
  </si>
  <si>
    <t>67.5</t>
  </si>
  <si>
    <t>67.6</t>
  </si>
  <si>
    <t>67.7</t>
  </si>
  <si>
    <t>67.8</t>
  </si>
  <si>
    <t>67.9</t>
  </si>
  <si>
    <t>67.10</t>
  </si>
  <si>
    <t>67.11</t>
  </si>
  <si>
    <t>67.12</t>
  </si>
  <si>
    <t>67.13</t>
  </si>
  <si>
    <t>67.14</t>
  </si>
  <si>
    <t>67.15</t>
  </si>
  <si>
    <t>67.16</t>
  </si>
  <si>
    <t>Е0801-002-03 МИНСТРОЙИЖКХ 14.02.23 Г. N 30</t>
  </si>
  <si>
    <t>УСТРОЙСТВО ОСНОВАНИЯ ПОД ФУНДАМЕНТЫ ГРАВИЙНОГО</t>
  </si>
  <si>
    <t>АВТОПОГРУЗЧИКИ ПРИ РАБОТЕ НА ДРУГИХ ВИДАХ СТРОИТЕЛЬСТВА 3 Т</t>
  </si>
  <si>
    <t>1866</t>
  </si>
  <si>
    <t>ТРАМБОВКИ ПНЕВМАТИЧЕСКИЕ</t>
  </si>
  <si>
    <t>9249</t>
  </si>
  <si>
    <t>ГРАВИЙ</t>
  </si>
  <si>
    <t>РАЗДЕЛ 15.ЛЕСТНИЦА Л-1 КЖ-56...59</t>
  </si>
  <si>
    <t>Е0601-111-01 ДОП. 5</t>
  </si>
  <si>
    <t>УСТРОЙСТВО ЛЕСТНИЧНЫХ МАРШЕЙ В ОПАЛУБКЕ ТИПА "ДОКА" ПРЯМОУГОЛЬНЫХ</t>
  </si>
  <si>
    <t>72.5</t>
  </si>
  <si>
    <t>72.6</t>
  </si>
  <si>
    <t>72.7</t>
  </si>
  <si>
    <t>72.8</t>
  </si>
  <si>
    <t>72.9</t>
  </si>
  <si>
    <t>72.10</t>
  </si>
  <si>
    <t>72.11</t>
  </si>
  <si>
    <t>72.12</t>
  </si>
  <si>
    <t>72.13</t>
  </si>
  <si>
    <t>72.14</t>
  </si>
  <si>
    <t>72.15</t>
  </si>
  <si>
    <t>72.16</t>
  </si>
  <si>
    <t>72.17</t>
  </si>
  <si>
    <t>45090</t>
  </si>
  <si>
    <t>ПАЛУБА ОПАЛУБКИ ТИПА "ДОКА" ИЗ БАКЕЛИЗИРОВАННОЙ ФАНЕРЫ</t>
  </si>
  <si>
    <t>ЦЕНА2021-10</t>
  </si>
  <si>
    <t>ЦЕНА2021-1</t>
  </si>
  <si>
    <t>РАЗДЕЛ 16.СТЕНЫ И ПЕРЕГОРОТКИ</t>
  </si>
  <si>
    <t>РАЗДЕЛ 17.НАКЛАДНОЙ ДЕТАЛЫ КЖ-60,61</t>
  </si>
  <si>
    <t>79.1</t>
  </si>
  <si>
    <t>79.2</t>
  </si>
  <si>
    <t>79.3</t>
  </si>
  <si>
    <t>ЛИСТ СТАЛЬНЫЕ 6ММ</t>
  </si>
  <si>
    <t>АНКЕРНЫЙ БОЛЬТ 8Х100</t>
  </si>
  <si>
    <t>РАЗДЕЛ 18.КЛАДКА СТЕНЫ И ПЕРЕГОРОТКИ КЖ-67</t>
  </si>
  <si>
    <t>Е0803-007-01 МИНСТРОЙИЖКХ 14.02.23 Г. N 30</t>
  </si>
  <si>
    <t>КЛАДКА СТЕН ИЗ ГАЗОБЕТОННЫХ БЛОКОВ НА КЛЕЕ БЕЗ ОБЛИЦОВКИ ТОЛЩИНОЙ ДО 400 ММ ПРИ ВЫСОТЕ ЭТАЖА ДО 4 М</t>
  </si>
  <si>
    <t>19412</t>
  </si>
  <si>
    <t>СМЕСЬ РАСТВОРНАЯ СУХАЯ</t>
  </si>
  <si>
    <t>19416</t>
  </si>
  <si>
    <t>БЛОКИ ИЗ ГАЗОБЕТОНА СТЕНОВЫЕ ТОЛЩИНОЙ 200 ММ</t>
  </si>
  <si>
    <t>Е0804-003-01 МИНСТРОЙИЖКХ 14.02.23 Г. N 30</t>
  </si>
  <si>
    <t>КЛАДКА ПЕРЕГОРОДОК ИЗ ГАЗОБЕТОННЫХ БЛОКОВ НА КЛЕЕ ТОЛЩИНОЙ 100 ММ ПРИ ВЫСОТЕ ЭТАЖА ДО 4 М</t>
  </si>
  <si>
    <t>83.6</t>
  </si>
  <si>
    <t>83.7</t>
  </si>
  <si>
    <t>19415</t>
  </si>
  <si>
    <t>БЛОКИ ИЗ ГАЗОБЕТОНА СТЕНОВЫЕ ТОЛЩИНОЙ 100 ММ</t>
  </si>
  <si>
    <t>ЦЕНА2028-1</t>
  </si>
  <si>
    <t>КЛАДОЧНЫЙ СЕТКА СГ-1 И СГ-2 ИЗ АРМАТУРНОЙ С ВР-1 ДИАМЕТРОМ 5 ММ</t>
  </si>
  <si>
    <t>КЛАДОЧНЫЙ СЕТКА СГ-1 И СГ-2 ИЗ АРМАТУРНОЙ С ВР-1 ДИАМЕТРОМ 3 ММ</t>
  </si>
  <si>
    <t>Е0802-007-02 МИНСТРОЙИЖКХ 14.02.23 Г. N 30</t>
  </si>
  <si>
    <t>КРЕПЛЕНИЕ СВОДОВ СТАЛЬНЫМИ ЗАТЯЖКАМИ</t>
  </si>
  <si>
    <t>87.5</t>
  </si>
  <si>
    <t>31248</t>
  </si>
  <si>
    <t>ЛАК БИТУМНЫЙ БТ-123</t>
  </si>
  <si>
    <t>87.6</t>
  </si>
  <si>
    <t>41843</t>
  </si>
  <si>
    <t>ИЗДЕЛИЯ МЕТАЛЛИЧЕСКИЕ ПО ПРОЕКТНЫМ ДАННЫМ</t>
  </si>
  <si>
    <t>РАЗДЕЛ 19.МЕТАЛЛИЧЕСКИЕ СТОЙКИ КЖ-68</t>
  </si>
  <si>
    <t>ЦЕНА2018-2</t>
  </si>
  <si>
    <t>АНКЕР М8Х80</t>
  </si>
  <si>
    <t>РАЗДЕЛ 20.МЕТАЛЛИЧЕСКИЕ ПЕРЕМЫЧКИ КЖ-69</t>
  </si>
  <si>
    <t>МОНТАЖ МЕТАЛЛИЧЕСКИХ ПЕРЕМЫЧЕК</t>
  </si>
  <si>
    <t>90.12</t>
  </si>
  <si>
    <t>90.13</t>
  </si>
  <si>
    <t>90.14</t>
  </si>
  <si>
    <t>90.15</t>
  </si>
  <si>
    <t>90.16</t>
  </si>
  <si>
    <t>90.17</t>
  </si>
  <si>
    <t>90.18</t>
  </si>
  <si>
    <t>50756</t>
  </si>
  <si>
    <t>ОТДЕЛЬНЫЕ КОНСТРУКТИВНЫЕ ЭЛЕМЕНТЫ ЗДАНИЙ И СООРУЖЕНИЙ С ПРЕОБЛАДАНИЕМ ГОРЯЧЕКАТАНЫХ ПРОФИЛЕЙ, СРЕДНЯЯ МАССА СБОРОЧНОЙ ЕДИНИЦЫ СВЫШЕ 0.1 ДО 0.5 Т</t>
  </si>
  <si>
    <t>90.19</t>
  </si>
  <si>
    <t>РАЗДЕЛ 21.МОНОЛИТНЫЕ СЕРДЕЧНИКИ КЖ-63</t>
  </si>
  <si>
    <t>Е0601-026-04</t>
  </si>
  <si>
    <t>УСТРОЙСТВО ЖЕЛЕЗОБЕТОННЫХ КОЛОНН В ДЕРЕВЯННОЙ ОПАЛУБКЕ ВЫСОТОЙ ДО 4 М, ПЕРИМЕТРОМ ДО 2 М</t>
  </si>
  <si>
    <t>6322</t>
  </si>
  <si>
    <t>БЕТОН ТЯЖЕЛЫЙ КЛАССА В15 /М-200/ ФРАКЦИИ 5-20 ММ</t>
  </si>
  <si>
    <t>91.11</t>
  </si>
  <si>
    <t>91.12</t>
  </si>
  <si>
    <t>91.13</t>
  </si>
  <si>
    <t>36080</t>
  </si>
  <si>
    <t>ДОСКИ НЕОБРЕЗНЫЕ ДЛИНОЙ 4-6,5 М, ВСЕ ШИРИНЫ, ТОЛЩИНОЙ 44 ММ И БОЛЕЕ II СОРТА</t>
  </si>
  <si>
    <t>91.14</t>
  </si>
  <si>
    <t>44050</t>
  </si>
  <si>
    <t>БРУСКИ ОБРЕЗНЫЕ ХВОЙНЫХ ПОРОД ДЛИНОЙ 2-6,5 М, ТОЛЩИНОЙ 40-60 ММ, 2 СОРТА</t>
  </si>
  <si>
    <t>91.15</t>
  </si>
  <si>
    <t>ГОРЯЧЕКАТАННАЯ АРМАТУРНАЯ СТАЛЬ КЛАССА А-3 ДИАМЕТРОМ 6ММ</t>
  </si>
  <si>
    <t>РАЗДЕЛ 22.МОНОЛИТНЫЕ ПОЯСЫ КЖ-63</t>
  </si>
  <si>
    <t>Е0601-035-01</t>
  </si>
  <si>
    <t>УСТРОЙСТВО ПОЯСОВ В ОПАЛУБКЕ</t>
  </si>
  <si>
    <t>94.8</t>
  </si>
  <si>
    <t>94.9</t>
  </si>
  <si>
    <t>94.10</t>
  </si>
  <si>
    <t>94.11</t>
  </si>
  <si>
    <t>94.12</t>
  </si>
  <si>
    <t>94.13</t>
  </si>
  <si>
    <t>94.14</t>
  </si>
  <si>
    <t>94.15</t>
  </si>
  <si>
    <t>РАЗДЕЛ 23.КРОВЛЯ КЖ-70-71</t>
  </si>
  <si>
    <t>Е1001-002-01</t>
  </si>
  <si>
    <t>УСТАНОВКА СТРОПИЛ</t>
  </si>
  <si>
    <t>97.1</t>
  </si>
  <si>
    <t>97.2</t>
  </si>
  <si>
    <t>97.3</t>
  </si>
  <si>
    <t>97.4</t>
  </si>
  <si>
    <t>1556</t>
  </si>
  <si>
    <t>БЕНЗОПИЛЫ</t>
  </si>
  <si>
    <t>97.5</t>
  </si>
  <si>
    <t>97.6</t>
  </si>
  <si>
    <t>97.7</t>
  </si>
  <si>
    <t>31929</t>
  </si>
  <si>
    <t>ТОЛЬ С КРУПНОЗЕРНИСТОЙ ПОСЫПКОЙ ГИДРОИЗОЛЯЦИОННЫЙ МАРКИ ТГ-350</t>
  </si>
  <si>
    <t>97.8</t>
  </si>
  <si>
    <t>97.9</t>
  </si>
  <si>
    <t>36024</t>
  </si>
  <si>
    <t>БРУСКИ ОБРЕЗНЫЕ ХВОЙНЫХ ПОРОД ДЛИНОЙ 4-6,5 М, ШИРИНОЙ 75-150 ММ, ТОЛЩИНОЙ 40-75 ММ, II СОРТА</t>
  </si>
  <si>
    <t>97.10</t>
  </si>
  <si>
    <t>36028</t>
  </si>
  <si>
    <t>БРУСКИ ОБРЕЗНЫЕ ХВОЙНЫХ ПОРОД ДЛИНОЙ 4-6,5 М, ШИРИНОЙ 75-150 ММ, ТОЛЩИНОЙ 100, 125 ММ, II СОРТА</t>
  </si>
  <si>
    <t>97.11</t>
  </si>
  <si>
    <t>36059</t>
  </si>
  <si>
    <t>ПИЛОМАТЕРИАЛЫ ХВОЙНЫХ ПОРОД ДОСКИ ОБРЕЗНЫЕ ДЛИНОЙ 4-6,5 М, ШИРИНОЙ 75-150 ММ, ТОЛЩИНОЙ 44 ММ И БОЛЕЕ I СОРТА</t>
  </si>
  <si>
    <t>97.12</t>
  </si>
  <si>
    <t>45089</t>
  </si>
  <si>
    <t>ПАСТА АНТИСЕПТИЧЕСКАЯ</t>
  </si>
  <si>
    <t>УСТАНОВКА ДЕРЕВЯННЫЙ КОНСТРУКЦИЯ</t>
  </si>
  <si>
    <t>98.6</t>
  </si>
  <si>
    <t>98.7</t>
  </si>
  <si>
    <t>98.8</t>
  </si>
  <si>
    <t>98.9</t>
  </si>
  <si>
    <t>98.10</t>
  </si>
  <si>
    <t>98.11</t>
  </si>
  <si>
    <t>98.12</t>
  </si>
  <si>
    <t>Е1001-082-02</t>
  </si>
  <si>
    <t>УКЛАДКА ПО ФЕРМАМ ПРОГОНОВ ИЗ БРУСЬЕВ</t>
  </si>
  <si>
    <t>30391</t>
  </si>
  <si>
    <t>ГВОЗДИ СТРОИТЕЛЬНЫЕ С ПЛОСКОЙ ГОЛОВКОЙ 1,8Х60 ММ</t>
  </si>
  <si>
    <t>Е1001-087-01</t>
  </si>
  <si>
    <t>ОГНЕЗАЩИТА ДЕРЕВЯННЫХ КОНСТРУКЦИЙ ФЕРМ, АРОК, БАЛОК, СТРОПИЛ, МАУЭРЛАТОВ</t>
  </si>
  <si>
    <t>10М3</t>
  </si>
  <si>
    <t>АГРЕГАТЫ ДЛЯ ПРИГОТОВЛЕНИЯ РАБОЧИХ ЖИДКОСТЕЙ-ЯДОХИМИКАТОВ (БЕЗ ТРАКТОРА)</t>
  </si>
  <si>
    <t>100.5</t>
  </si>
  <si>
    <t>100.6</t>
  </si>
  <si>
    <t>100.7</t>
  </si>
  <si>
    <t>34206</t>
  </si>
  <si>
    <t>АММОНИЙ ФОСФОРНОКИСЛЫЙ ДВУЗАМЕЩЕННЫЙ (ДИАМОНИЙ ФОСФАТ) МАРКА Б</t>
  </si>
  <si>
    <t>100.8</t>
  </si>
  <si>
    <t>40713</t>
  </si>
  <si>
    <t>СУЛЬФАТ АММОНИЯ НАСЫПЬЮ, СОРТ ВЫСШИЙ</t>
  </si>
  <si>
    <t>Е1001-088-01</t>
  </si>
  <si>
    <t>ОГНЕЗАЩИТА ОБРЕШЕТОК ПОД КРОВЛЮ, ПОКРЫТИЯ И НАСТИЛЫ ПО ФЕРМАМ</t>
  </si>
  <si>
    <t>101.1</t>
  </si>
  <si>
    <t>101.2</t>
  </si>
  <si>
    <t>101.3</t>
  </si>
  <si>
    <t>101.4</t>
  </si>
  <si>
    <t>101.5</t>
  </si>
  <si>
    <t>101.6</t>
  </si>
  <si>
    <t>101.7</t>
  </si>
  <si>
    <t>101.8</t>
  </si>
  <si>
    <t>101.9</t>
  </si>
  <si>
    <t>34244</t>
  </si>
  <si>
    <t>КОНТАКТ КЕРОСИНОВЫЙ</t>
  </si>
  <si>
    <t>101.10</t>
  </si>
  <si>
    <t>102.5</t>
  </si>
  <si>
    <t>102.6</t>
  </si>
  <si>
    <t>СТАЛЬ ЛИСТОВАЯ ОЦИНКОВАННАЯ ТОЛЩИНОЙ ЛИСТА 0,5 ММ</t>
  </si>
  <si>
    <t>Е1201-008-04 МИНСТРОЙ РУЗ 05.01.21 N 3</t>
  </si>
  <si>
    <t>НАВЕСКА ВОДОСТОЧНЫХ ТРУБ ПО СТЕНАМ ИЗ КИРПИЧА ИЛИ ЛЕГКОГО БЕТОНА, ДИАМЕТРОМ ДО: 215 ММ</t>
  </si>
  <si>
    <t>47801</t>
  </si>
  <si>
    <t>ТРУБЫ ВОДОСТОЧНЫЕ</t>
  </si>
  <si>
    <t>РАЗДЕЛ 24.СЛУХВЫХ ОКОН КЖ-73</t>
  </si>
  <si>
    <t>Е1001-003-01</t>
  </si>
  <si>
    <t>УСТРОЙСТВО СЛУХОВЫХ ОКОН</t>
  </si>
  <si>
    <t>СЛУХОВОЕ ОКНО</t>
  </si>
  <si>
    <t>105.5</t>
  </si>
  <si>
    <t>105.6</t>
  </si>
  <si>
    <t>ДЕРЕВ. БРУС СЧЕН.60Х80ММ</t>
  </si>
  <si>
    <t>ДЕРЕВ. БРУС СЧЕН.120Х30ММ</t>
  </si>
  <si>
    <t>ДЕРЕВ. БРУС СЧЕН.40Х70ММ</t>
  </si>
  <si>
    <t>ДЕРЕВ. БРУС СЧЕН.25Х80ММ</t>
  </si>
  <si>
    <t>РАЗДЕЛ 25.МЕТАЛИЧЕСКАЯ СТРЕМЯНКА КЖ-73</t>
  </si>
  <si>
    <t>Е0903-029-01</t>
  </si>
  <si>
    <t>МОНТАЖ ЛЕСТНИЦ ПРЯМОЛИНЕЙНЫХ И КРИВОЛИНЕЙНЫХ, ПОЖАРНЫХ С ОГРАЖДЕНИЕМ</t>
  </si>
  <si>
    <t>514</t>
  </si>
  <si>
    <t>ДОМКРАТЫ ГИДРАВЛИЧЕСКИЕ ГРУЗОПОДЪЕМНОСТЬЮ ДО 100 Т</t>
  </si>
  <si>
    <t>715</t>
  </si>
  <si>
    <t>КРАНЫ КОЗЛОВЫЕ ПРИ РАБОТЕ НА МОНТАЖЕ ТЕХНОЛОГИЧЕСКОГО ОБОРУДОВАНИЯ 32 Т</t>
  </si>
  <si>
    <t>783</t>
  </si>
  <si>
    <t>КРАНЫ НА ГУСЕНИЧНОМ ХОДУ ПРИ РАБОТЕ НА ДРУГИХ ВИДАХ СТРОИТЕЛЬСТВА ДО 16 Т</t>
  </si>
  <si>
    <t>110.7</t>
  </si>
  <si>
    <t>110.8</t>
  </si>
  <si>
    <t>110.9</t>
  </si>
  <si>
    <t>2346</t>
  </si>
  <si>
    <t>ПЕЧИ ЭЛЕКТРИЧЕСКИЕ ДЛЯ СУШКИ СВАРОЧНЫХ МАТЕРИАЛОВ С РЕГУЛИРОВАНИЕМ ТЕМПЕРАТУРЫ В ПРЕДЕЛАХ 80-500 ГР. С</t>
  </si>
  <si>
    <t>110.10</t>
  </si>
  <si>
    <t>110.11</t>
  </si>
  <si>
    <t>110.12</t>
  </si>
  <si>
    <t>110.13</t>
  </si>
  <si>
    <t>110.14</t>
  </si>
  <si>
    <t>110.15</t>
  </si>
  <si>
    <t>110.16</t>
  </si>
  <si>
    <t>110.17</t>
  </si>
  <si>
    <t>110.18</t>
  </si>
  <si>
    <t>110.19</t>
  </si>
  <si>
    <t>35504</t>
  </si>
  <si>
    <t>КАНАТЫ ПЕНЬКОВЫЕ ПРОПИТАННЫЕ</t>
  </si>
  <si>
    <t>110.20</t>
  </si>
  <si>
    <t>110.21</t>
  </si>
  <si>
    <t>110.22</t>
  </si>
  <si>
    <t>110.23</t>
  </si>
  <si>
    <t>110.24</t>
  </si>
  <si>
    <t>110.25</t>
  </si>
  <si>
    <t>96384</t>
  </si>
  <si>
    <t>КАНАТ ДВОЙНОЙ СВИВКИ, ТИПА ТК, КОНСТРУКЦИИ 6Х19(1+6+12)+1 О.С. ОЦИНКОВАННЫЙ, ИЗ ПРОВОЛОК МАРКИ В, МАРКИРОВОЧНАЯ ГРУППА 1770 Н/ММ2, ДИАМЕТРОМ, ММ: 5,5</t>
  </si>
  <si>
    <t>111.5</t>
  </si>
  <si>
    <t>РАЗДЕЛ 26.ВЕНТ.ШАХТА ВШ1 КЖ-74</t>
  </si>
  <si>
    <t>Е0802-002-03 МИНСТРОЙИЖКХ 14.02.23 Г. N 30 ТЧ П.3.1 КМР=0,77 И КМР=0,9</t>
  </si>
  <si>
    <t>КЛАДКА ПЕРЕГОРОДОК ИЗ КИРПИЧА АРМИРОВАННЫХ ТОЛЩИНОЙ В 1/2 КИРПИЧА ПРИ ВЫСОТЕ ЭТАЖА ДО 4 М. ИЗ КИРПИЧА РАЗМЕРОМ 250Х120Х88 ММ, ПРИМЕНЕНЫ КОЭФФИЦИЕНТЫ К НОРМАМ РАСХОДА КИРПИЧА - 0,77, РАСТВОРА - 0,9</t>
  </si>
  <si>
    <t>10411</t>
  </si>
  <si>
    <t>КИРПИЧ КЕРАМИЧЕСКИЙ, СИЛИКАТНЫЙ ИЛИ ПУСТОТЕЛЫЙ МАРКА ПО ПРОЕКТУ</t>
  </si>
  <si>
    <t>1000ШТ</t>
  </si>
  <si>
    <t>45033</t>
  </si>
  <si>
    <t>РАСТВОР ГОТОВЫЙ КЛАДОЧНЫЙ (СОСТАВ И МАРКА ПО ПРОЕКТУ)</t>
  </si>
  <si>
    <t>СЕТКА КЛАДОЧНЫЙ СГ-3</t>
  </si>
  <si>
    <t>115.4</t>
  </si>
  <si>
    <t>115.5</t>
  </si>
  <si>
    <t>115.6</t>
  </si>
  <si>
    <t>115.7</t>
  </si>
  <si>
    <t>115.8</t>
  </si>
  <si>
    <t>115.9</t>
  </si>
  <si>
    <t>115.10</t>
  </si>
  <si>
    <t>115.11</t>
  </si>
  <si>
    <t>115.12</t>
  </si>
  <si>
    <t>115.13</t>
  </si>
  <si>
    <t>115.14</t>
  </si>
  <si>
    <t>115.15</t>
  </si>
  <si>
    <t>118.7</t>
  </si>
  <si>
    <t>118.8</t>
  </si>
  <si>
    <t>118.9</t>
  </si>
  <si>
    <t>118.10</t>
  </si>
  <si>
    <t>118.11</t>
  </si>
  <si>
    <t>118.12</t>
  </si>
  <si>
    <t>118.13</t>
  </si>
  <si>
    <t>118.14</t>
  </si>
  <si>
    <t>118.15</t>
  </si>
  <si>
    <t>121.8</t>
  </si>
  <si>
    <t>121.9</t>
  </si>
  <si>
    <t>121.10</t>
  </si>
  <si>
    <t>121.11</t>
  </si>
  <si>
    <t>121.12</t>
  </si>
  <si>
    <t>ЦЕНА2021-92</t>
  </si>
  <si>
    <t>ЛИСТ ОЦИНКОВАННЫЙ ТОЛЩИНОЙ 0,6ММ</t>
  </si>
  <si>
    <t>СКРУТКА ДИАМЕТРОМ 4ММ</t>
  </si>
  <si>
    <t>РАЗДЕЛ 27.ВЕНТ.ШАХТА ВШ2 КЖ-75</t>
  </si>
  <si>
    <t>124.1</t>
  </si>
  <si>
    <t>124.2</t>
  </si>
  <si>
    <t>124.3</t>
  </si>
  <si>
    <t>124.4</t>
  </si>
  <si>
    <t>124.5</t>
  </si>
  <si>
    <t>124.6</t>
  </si>
  <si>
    <t>126.5</t>
  </si>
  <si>
    <t>126.6</t>
  </si>
  <si>
    <t>126.7</t>
  </si>
  <si>
    <t>126.8</t>
  </si>
  <si>
    <t>126.9</t>
  </si>
  <si>
    <t>126.10</t>
  </si>
  <si>
    <t>126.11</t>
  </si>
  <si>
    <t>126.12</t>
  </si>
  <si>
    <t>126.13</t>
  </si>
  <si>
    <t>126.14</t>
  </si>
  <si>
    <t>126.15</t>
  </si>
  <si>
    <t>129.8</t>
  </si>
  <si>
    <t>129.9</t>
  </si>
  <si>
    <t>129.10</t>
  </si>
  <si>
    <t>129.11</t>
  </si>
  <si>
    <t>129.12</t>
  </si>
  <si>
    <t>129.13</t>
  </si>
  <si>
    <t>129.14</t>
  </si>
  <si>
    <t>129.15</t>
  </si>
  <si>
    <t>132.6</t>
  </si>
  <si>
    <t>132.7</t>
  </si>
  <si>
    <t>132.8</t>
  </si>
  <si>
    <t>132.9</t>
  </si>
  <si>
    <t>132.10</t>
  </si>
  <si>
    <t>132.11</t>
  </si>
  <si>
    <t>132.12</t>
  </si>
  <si>
    <t>РАЗДЕЛ 28.ОТМОСТКИ КЖ-76</t>
  </si>
  <si>
    <t>135.2</t>
  </si>
  <si>
    <t>135.3</t>
  </si>
  <si>
    <t>135.4</t>
  </si>
  <si>
    <t>135.5</t>
  </si>
  <si>
    <t>136.1</t>
  </si>
  <si>
    <t>136.2</t>
  </si>
  <si>
    <t>136.3</t>
  </si>
  <si>
    <t>136.4</t>
  </si>
  <si>
    <t>136.5</t>
  </si>
  <si>
    <t>РАЗДЕЛ 29.СПУСК ПОДВАЛА 2 ШТ КЖ-77</t>
  </si>
  <si>
    <t>Е0801-002-02 МИНСТРОЙИЖКХ 14.02.23 Г. N 30</t>
  </si>
  <si>
    <t>УСТРОЙСТВО ОСНОВАНИЯ ПОД ФУНДАМЕНТЫ ЩЕБЕНОЧНОГО</t>
  </si>
  <si>
    <t>137.1</t>
  </si>
  <si>
    <t>137.2</t>
  </si>
  <si>
    <t>137.3</t>
  </si>
  <si>
    <t>137.4</t>
  </si>
  <si>
    <t>137.5</t>
  </si>
  <si>
    <t>43113</t>
  </si>
  <si>
    <t>ЩЕБЕНЬ</t>
  </si>
  <si>
    <t>138.1</t>
  </si>
  <si>
    <t>138.2</t>
  </si>
  <si>
    <t>138.3</t>
  </si>
  <si>
    <t>138.4</t>
  </si>
  <si>
    <t>138.5</t>
  </si>
  <si>
    <t>139.1</t>
  </si>
  <si>
    <t>139.2</t>
  </si>
  <si>
    <t>139.3</t>
  </si>
  <si>
    <t>139.4</t>
  </si>
  <si>
    <t>139.5</t>
  </si>
  <si>
    <t>139.6</t>
  </si>
  <si>
    <t>139.7</t>
  </si>
  <si>
    <t>139.8</t>
  </si>
  <si>
    <t>139.9</t>
  </si>
  <si>
    <t>139.10</t>
  </si>
  <si>
    <t>139.11</t>
  </si>
  <si>
    <t>139.12</t>
  </si>
  <si>
    <t>139.13</t>
  </si>
  <si>
    <t>ЦЕНА2025-7</t>
  </si>
  <si>
    <t>Е1202-002-02 МИНСТРОЙ РУЗ 05.01.21 N 3</t>
  </si>
  <si>
    <t>УСТРОЙСТВО ГИДРОИЗОЛЯЦИЙ ВЕРТИКАЛЬНЫХ ПОВЕРХНОСТЕЙ. ОБМАЗОЧНАЯ БИТУМНАЯ В ОДИН СЛОЙ ПО ВЫРОВНЕННОЙ ПОВЕРХНОСТИ КИРПИЧА И БЕТОНА</t>
  </si>
  <si>
    <t>141.1</t>
  </si>
  <si>
    <t>141.2</t>
  </si>
  <si>
    <t>141.3</t>
  </si>
  <si>
    <t>141.4</t>
  </si>
  <si>
    <t>141.5</t>
  </si>
  <si>
    <t>Е1202-002-03 МИНСТРОЙ РУЗ 05.01.21 N 3</t>
  </si>
  <si>
    <t>УСТРОЙСТВО ГИДРОИЗОЛЯЦИЙ ВЕРТИКАЛЬНЫХ ПОВЕРХНОСТЕЙ. ОБМАЗОЧНАЯ БИТУМНАЯ НА КАЖДЫЙ СЛОЙ ДОБАВЛЯЕТСЯ</t>
  </si>
  <si>
    <t>142.1</t>
  </si>
  <si>
    <t>142.2</t>
  </si>
  <si>
    <t>142.3</t>
  </si>
  <si>
    <t>142.4</t>
  </si>
  <si>
    <t>142.5</t>
  </si>
  <si>
    <t>РАЗДЕЛ 30.КОЗЫРЕК КЖ-77</t>
  </si>
  <si>
    <t>Е0901-005-02</t>
  </si>
  <si>
    <t>МОНТАЖ КАРКАСОВ ЗДАНИЙ АРОЧНЫХ, ПРОЛЕТОМ ДО 48 М</t>
  </si>
  <si>
    <t>143.1</t>
  </si>
  <si>
    <t>143.2</t>
  </si>
  <si>
    <t>143.3</t>
  </si>
  <si>
    <t>143.4</t>
  </si>
  <si>
    <t>143.5</t>
  </si>
  <si>
    <t>143.6</t>
  </si>
  <si>
    <t>143.7</t>
  </si>
  <si>
    <t>143.8</t>
  </si>
  <si>
    <t>143.9</t>
  </si>
  <si>
    <t>143.10</t>
  </si>
  <si>
    <t>143.11</t>
  </si>
  <si>
    <t>143.12</t>
  </si>
  <si>
    <t>143.13</t>
  </si>
  <si>
    <t>144.1</t>
  </si>
  <si>
    <t>144.2</t>
  </si>
  <si>
    <t>144.3</t>
  </si>
  <si>
    <t>144.4</t>
  </si>
  <si>
    <t>144.5</t>
  </si>
  <si>
    <t>144.6</t>
  </si>
  <si>
    <t>144.7</t>
  </si>
  <si>
    <t>144.8</t>
  </si>
  <si>
    <t>144.9</t>
  </si>
  <si>
    <t>ДЮБЕЛИ-ГВОЗДИ ДГ 4,5Х40</t>
  </si>
  <si>
    <t>146.1</t>
  </si>
  <si>
    <t>146.2</t>
  </si>
  <si>
    <t>146.3</t>
  </si>
  <si>
    <t>146.4</t>
  </si>
  <si>
    <t>146.5</t>
  </si>
  <si>
    <t>147.1</t>
  </si>
  <si>
    <t>147.2</t>
  </si>
  <si>
    <t>147.3</t>
  </si>
  <si>
    <t>147.4</t>
  </si>
  <si>
    <t>147.5</t>
  </si>
  <si>
    <t>147.6</t>
  </si>
  <si>
    <t>РАЗДЕЛ 31.КРЫЛЬЦО КЖ-78</t>
  </si>
  <si>
    <t>Е0601-157-03ДОП. 14</t>
  </si>
  <si>
    <t>УСТРОЙСТВО МОНОЛИТНЫХ БЕТОННЫХ КРЫЛЕЦ</t>
  </si>
  <si>
    <t>148.1</t>
  </si>
  <si>
    <t>148.2</t>
  </si>
  <si>
    <t>148.3</t>
  </si>
  <si>
    <t>148.4</t>
  </si>
  <si>
    <t>148.5</t>
  </si>
  <si>
    <t>148.6</t>
  </si>
  <si>
    <t>148.7</t>
  </si>
  <si>
    <t>148.8</t>
  </si>
  <si>
    <t>148.9</t>
  </si>
  <si>
    <t>74164</t>
  </si>
  <si>
    <t>ГЕОТКАНЬ</t>
  </si>
  <si>
    <t>СЕТКА С-1 АРМАТУРА А-1 Д-6 ММ</t>
  </si>
  <si>
    <t>1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</si>
</sst>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######"/>
    <numFmt numFmtId="165" formatCode="_-* #,##0.00\ _₽_-;\-* #,##0.00\ _₽_-;_-* &quot;-&quot;??\ _₽_-;_-@_-"/>
    <numFmt numFmtId="166" formatCode="_-* #,##0\ _₽_-;\-* #,##0\ _₽_-;_-* &quot;-&quot;??\ _₽_-;_-@_-"/>
    <numFmt numFmtId="167" formatCode="0.0000"/>
  </numFmts>
  <fonts count="47" x14ac:knownFonts="1">
    <font>
      <sz val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b/>
      <u/>
      <sz val="12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sz val="9"/>
      <color rgb="FF800080"/>
      <name val="Times New Roman Cyr"/>
      <charset val="204"/>
    </font>
    <font>
      <sz val="10"/>
      <color rgb="FF003300"/>
      <name val="Times New Roman Cyr"/>
      <charset val="204"/>
    </font>
    <font>
      <sz val="9"/>
      <color rgb="FF003300"/>
      <name val="Times New Roman Cyr"/>
      <charset val="204"/>
    </font>
    <font>
      <sz val="10"/>
      <color rgb="FF000080"/>
      <name val="Times New Roman Cyr"/>
      <charset val="204"/>
    </font>
    <font>
      <sz val="9"/>
      <color rgb="FF000080"/>
      <name val="Times New Roman Cyr"/>
      <charset val="204"/>
    </font>
    <font>
      <b/>
      <sz val="9"/>
      <name val="Times New Roman Cyr"/>
      <charset val="204"/>
    </font>
    <font>
      <b/>
      <sz val="10"/>
      <name val="Times New Roman Cyr"/>
      <charset val="204"/>
    </font>
    <font>
      <sz val="7"/>
      <name val="Times New Roman Cyr"/>
      <family val="1"/>
      <charset val="204"/>
    </font>
    <font>
      <sz val="10"/>
      <name val="Arial Cyr"/>
      <charset val="204"/>
    </font>
    <font>
      <sz val="7"/>
      <name val="Times New Roman"/>
      <family val="1"/>
      <charset val="204"/>
    </font>
    <font>
      <b/>
      <sz val="7"/>
      <name val="Times New Roman Cyr"/>
      <family val="1"/>
      <charset val="204"/>
    </font>
    <font>
      <sz val="8"/>
      <color rgb="FF000080"/>
      <name val="Times New Roman Cyr"/>
      <family val="1"/>
      <charset val="204"/>
    </font>
    <font>
      <sz val="10"/>
      <name val="Times New Roman"/>
      <family val="1"/>
      <charset val="204"/>
    </font>
    <font>
      <b/>
      <sz val="8"/>
      <name val="Times New Roman Cyr"/>
      <family val="1"/>
      <charset val="204"/>
    </font>
    <font>
      <sz val="8"/>
      <color rgb="FF000080"/>
      <name val="Times New Roman Cyr"/>
      <charset val="204"/>
    </font>
    <font>
      <b/>
      <sz val="8"/>
      <name val="Times New Roman Cyr"/>
      <charset val="204"/>
    </font>
    <font>
      <sz val="8"/>
      <name val="Times New Roman Cyr"/>
      <family val="1"/>
      <charset val="204"/>
    </font>
    <font>
      <sz val="8"/>
      <color rgb="FFFF0000"/>
      <name val="Times New Roman Cyr"/>
      <family val="1"/>
      <charset val="204"/>
    </font>
    <font>
      <sz val="9"/>
      <name val="Times New Roman Cyr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6" fillId="0" borderId="0"/>
    <xf numFmtId="165" fontId="18" fillId="0" borderId="0" applyFont="0" applyFill="0" applyBorder="0" applyAlignment="0" applyProtection="0"/>
    <xf numFmtId="0" fontId="40" fillId="0" borderId="0"/>
    <xf numFmtId="0" fontId="36" fillId="0" borderId="0"/>
  </cellStyleXfs>
  <cellXfs count="168">
    <xf numFmtId="0" fontId="18" fillId="0" borderId="0" xfId="0" applyFont="1"/>
    <xf numFmtId="0" fontId="18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right"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21" fillId="0" borderId="0" xfId="0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0" fontId="18" fillId="0" borderId="0" xfId="0" applyFont="1" applyAlignment="1">
      <alignment horizontal="center" vertical="center"/>
    </xf>
    <xf numFmtId="0" fontId="19" fillId="33" borderId="1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4" fillId="33" borderId="16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19" fillId="0" borderId="19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left" vertical="top" wrapText="1"/>
    </xf>
    <xf numFmtId="0" fontId="24" fillId="0" borderId="20" xfId="0" applyFont="1" applyBorder="1" applyAlignment="1">
      <alignment horizontal="left" vertical="top" wrapText="1" indent="1"/>
    </xf>
    <xf numFmtId="0" fontId="19" fillId="0" borderId="20" xfId="0" applyFont="1" applyBorder="1" applyAlignment="1">
      <alignment horizontal="center" vertical="top" wrapText="1"/>
    </xf>
    <xf numFmtId="0" fontId="26" fillId="0" borderId="20" xfId="0" applyFont="1" applyBorder="1" applyAlignment="1">
      <alignment horizontal="right" vertical="top" wrapText="1"/>
    </xf>
    <xf numFmtId="3" fontId="26" fillId="0" borderId="20" xfId="0" applyNumberFormat="1" applyFont="1" applyBorder="1" applyAlignment="1">
      <alignment horizontal="right" vertical="top" wrapText="1"/>
    </xf>
    <xf numFmtId="0" fontId="0" fillId="0" borderId="0" xfId="0" applyAlignment="1">
      <alignment vertical="top"/>
    </xf>
    <xf numFmtId="0" fontId="19" fillId="0" borderId="18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left" vertical="top" wrapText="1"/>
    </xf>
    <xf numFmtId="0" fontId="19" fillId="0" borderId="21" xfId="0" applyFont="1" applyBorder="1" applyAlignment="1">
      <alignment horizontal="center" vertical="top" wrapText="1"/>
    </xf>
    <xf numFmtId="164" fontId="26" fillId="0" borderId="21" xfId="0" applyNumberFormat="1" applyFont="1" applyBorder="1" applyAlignment="1">
      <alignment horizontal="right" vertical="top" wrapText="1"/>
    </xf>
    <xf numFmtId="4" fontId="0" fillId="0" borderId="21" xfId="0" applyNumberFormat="1" applyBorder="1" applyAlignment="1">
      <alignment horizontal="right" vertical="top" wrapText="1"/>
    </xf>
    <xf numFmtId="0" fontId="33" fillId="33" borderId="19" xfId="0" applyFont="1" applyFill="1" applyBorder="1" applyAlignment="1">
      <alignment horizontal="center" vertical="top" wrapText="1"/>
    </xf>
    <xf numFmtId="0" fontId="33" fillId="33" borderId="21" xfId="0" applyFont="1" applyFill="1" applyBorder="1" applyAlignment="1">
      <alignment horizontal="center" vertical="top" wrapText="1"/>
    </xf>
    <xf numFmtId="0" fontId="34" fillId="33" borderId="21" xfId="0" applyFont="1" applyFill="1" applyBorder="1" applyAlignment="1">
      <alignment horizontal="right" vertical="top" wrapText="1"/>
    </xf>
    <xf numFmtId="3" fontId="34" fillId="33" borderId="21" xfId="0" applyNumberFormat="1" applyFont="1" applyFill="1" applyBorder="1" applyAlignment="1">
      <alignment horizontal="right" vertical="top" wrapText="1"/>
    </xf>
    <xf numFmtId="3" fontId="0" fillId="0" borderId="21" xfId="0" applyNumberFormat="1" applyBorder="1" applyAlignment="1">
      <alignment horizontal="right" vertical="top" wrapText="1"/>
    </xf>
    <xf numFmtId="3" fontId="26" fillId="0" borderId="21" xfId="0" applyNumberFormat="1" applyFont="1" applyBorder="1" applyAlignment="1">
      <alignment horizontal="right" vertical="top" wrapText="1"/>
    </xf>
    <xf numFmtId="0" fontId="18" fillId="35" borderId="0" xfId="0" applyFont="1" applyFill="1" applyAlignment="1">
      <alignment vertical="top"/>
    </xf>
    <xf numFmtId="0" fontId="35" fillId="0" borderId="2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24" fillId="33" borderId="16" xfId="0" applyFont="1" applyFill="1" applyBorder="1" applyAlignment="1">
      <alignment vertical="center" wrapText="1"/>
    </xf>
    <xf numFmtId="0" fontId="24" fillId="33" borderId="22" xfId="0" applyFont="1" applyFill="1" applyBorder="1" applyAlignment="1">
      <alignment vertical="top" wrapText="1"/>
    </xf>
    <xf numFmtId="0" fontId="24" fillId="33" borderId="23" xfId="0" applyFont="1" applyFill="1" applyBorder="1" applyAlignment="1">
      <alignment vertical="top" wrapText="1"/>
    </xf>
    <xf numFmtId="0" fontId="19" fillId="0" borderId="0" xfId="0" applyFont="1" applyAlignment="1">
      <alignment horizontal="center" vertical="top"/>
    </xf>
    <xf numFmtId="0" fontId="24" fillId="33" borderId="17" xfId="0" applyFont="1" applyFill="1" applyBorder="1" applyAlignment="1">
      <alignment horizontal="center" vertical="center"/>
    </xf>
    <xf numFmtId="0" fontId="24" fillId="33" borderId="17" xfId="0" applyFont="1" applyFill="1" applyBorder="1" applyAlignment="1">
      <alignment vertical="center"/>
    </xf>
    <xf numFmtId="0" fontId="18" fillId="0" borderId="0" xfId="0" applyFont="1" applyAlignment="1"/>
    <xf numFmtId="0" fontId="19" fillId="33" borderId="13" xfId="0" applyFont="1" applyFill="1" applyBorder="1" applyAlignment="1">
      <alignment vertical="center"/>
    </xf>
    <xf numFmtId="0" fontId="19" fillId="33" borderId="14" xfId="0" applyFont="1" applyFill="1" applyBorder="1" applyAlignment="1">
      <alignment vertical="center"/>
    </xf>
    <xf numFmtId="3" fontId="0" fillId="0" borderId="0" xfId="0" applyNumberFormat="1" applyAlignment="1">
      <alignment vertical="top"/>
    </xf>
    <xf numFmtId="166" fontId="0" fillId="0" borderId="0" xfId="43" applyNumberFormat="1" applyFont="1" applyAlignment="1">
      <alignment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166" fontId="0" fillId="0" borderId="0" xfId="43" applyNumberFormat="1" applyFont="1" applyAlignment="1">
      <alignment horizontal="left" vertical="top"/>
    </xf>
    <xf numFmtId="0" fontId="19" fillId="33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3" borderId="35" xfId="0" applyFont="1" applyFill="1" applyBorder="1" applyAlignment="1">
      <alignment horizontal="center" vertical="center" wrapText="1"/>
    </xf>
    <xf numFmtId="0" fontId="19" fillId="33" borderId="37" xfId="0" applyFont="1" applyFill="1" applyBorder="1" applyAlignment="1">
      <alignment horizontal="center" vertical="center" wrapText="1"/>
    </xf>
    <xf numFmtId="3" fontId="19" fillId="33" borderId="28" xfId="0" applyNumberFormat="1" applyFont="1" applyFill="1" applyBorder="1" applyAlignment="1">
      <alignment horizontal="center" vertical="center" wrapText="1"/>
    </xf>
    <xf numFmtId="166" fontId="19" fillId="33" borderId="28" xfId="43" applyNumberFormat="1" applyFont="1" applyFill="1" applyBorder="1" applyAlignment="1">
      <alignment horizontal="center" vertical="center" wrapText="1"/>
    </xf>
    <xf numFmtId="0" fontId="24" fillId="33" borderId="37" xfId="0" applyFont="1" applyFill="1" applyBorder="1" applyAlignment="1">
      <alignment horizontal="center" vertical="center" wrapText="1"/>
    </xf>
    <xf numFmtId="0" fontId="24" fillId="33" borderId="38" xfId="0" applyFont="1" applyFill="1" applyBorder="1" applyAlignment="1">
      <alignment horizontal="center" vertical="center" wrapText="1"/>
    </xf>
    <xf numFmtId="3" fontId="24" fillId="33" borderId="36" xfId="0" applyNumberFormat="1" applyFont="1" applyFill="1" applyBorder="1" applyAlignment="1">
      <alignment horizontal="center" vertical="center" wrapText="1"/>
    </xf>
    <xf numFmtId="166" fontId="24" fillId="33" borderId="36" xfId="4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 vertical="top"/>
    </xf>
    <xf numFmtId="166" fontId="26" fillId="0" borderId="20" xfId="43" applyNumberFormat="1" applyFont="1" applyBorder="1" applyAlignment="1">
      <alignment horizontal="right" vertical="top" wrapText="1"/>
    </xf>
    <xf numFmtId="166" fontId="26" fillId="0" borderId="21" xfId="43" applyNumberFormat="1" applyFont="1" applyBorder="1" applyAlignment="1">
      <alignment horizontal="right" vertical="top" wrapText="1"/>
    </xf>
    <xf numFmtId="166" fontId="34" fillId="33" borderId="21" xfId="43" applyNumberFormat="1" applyFont="1" applyFill="1" applyBorder="1" applyAlignment="1">
      <alignment horizontal="right" vertical="top" wrapText="1"/>
    </xf>
    <xf numFmtId="0" fontId="0" fillId="0" borderId="10" xfId="0" applyBorder="1" applyAlignment="1">
      <alignment vertical="top"/>
    </xf>
    <xf numFmtId="0" fontId="26" fillId="0" borderId="20" xfId="0" applyFont="1" applyBorder="1" applyAlignment="1">
      <alignment horizontal="left" vertical="top" wrapText="1"/>
    </xf>
    <xf numFmtId="3" fontId="18" fillId="0" borderId="0" xfId="0" applyNumberFormat="1" applyFont="1"/>
    <xf numFmtId="166" fontId="18" fillId="0" borderId="0" xfId="43" applyNumberFormat="1" applyFont="1"/>
    <xf numFmtId="0" fontId="26" fillId="0" borderId="20" xfId="0" applyFont="1" applyBorder="1" applyAlignment="1">
      <alignment vertical="top" wrapText="1"/>
    </xf>
    <xf numFmtId="0" fontId="33" fillId="33" borderId="20" xfId="0" applyFont="1" applyFill="1" applyBorder="1" applyAlignment="1">
      <alignment vertical="top" wrapText="1"/>
    </xf>
    <xf numFmtId="0" fontId="33" fillId="33" borderId="21" xfId="0" applyFont="1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39" xfId="0" applyBorder="1" applyAlignment="1"/>
    <xf numFmtId="0" fontId="0" fillId="0" borderId="40" xfId="0" applyBorder="1" applyAlignment="1"/>
    <xf numFmtId="0" fontId="20" fillId="0" borderId="11" xfId="0" applyFont="1" applyBorder="1" applyAlignment="1">
      <alignment vertical="top" wrapText="1"/>
    </xf>
    <xf numFmtId="0" fontId="19" fillId="33" borderId="32" xfId="0" applyFont="1" applyFill="1" applyBorder="1" applyAlignment="1">
      <alignment vertical="center" wrapText="1"/>
    </xf>
    <xf numFmtId="0" fontId="19" fillId="33" borderId="35" xfId="0" applyFont="1" applyFill="1" applyBorder="1" applyAlignment="1">
      <alignment vertical="center" wrapText="1"/>
    </xf>
    <xf numFmtId="0" fontId="19" fillId="33" borderId="37" xfId="0" applyFont="1" applyFill="1" applyBorder="1" applyAlignment="1">
      <alignment vertical="center" wrapText="1"/>
    </xf>
    <xf numFmtId="0" fontId="19" fillId="33" borderId="33" xfId="0" applyFont="1" applyFill="1" applyBorder="1" applyAlignment="1">
      <alignment vertical="center"/>
    </xf>
    <xf numFmtId="0" fontId="19" fillId="33" borderId="34" xfId="0" applyFont="1" applyFill="1" applyBorder="1" applyAlignment="1">
      <alignment vertical="center"/>
    </xf>
    <xf numFmtId="0" fontId="19" fillId="33" borderId="33" xfId="0" applyFont="1" applyFill="1" applyBorder="1" applyAlignment="1">
      <alignment vertical="center" wrapText="1"/>
    </xf>
    <xf numFmtId="0" fontId="19" fillId="33" borderId="36" xfId="0" applyFont="1" applyFill="1" applyBorder="1" applyAlignment="1">
      <alignment vertical="center" wrapText="1"/>
    </xf>
    <xf numFmtId="0" fontId="0" fillId="0" borderId="10" xfId="0" applyBorder="1" applyAlignment="1">
      <alignment vertical="top" wrapText="1"/>
    </xf>
    <xf numFmtId="0" fontId="21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19" fillId="33" borderId="24" xfId="0" applyFont="1" applyFill="1" applyBorder="1" applyAlignment="1">
      <alignment vertical="center" wrapText="1"/>
    </xf>
    <xf numFmtId="0" fontId="19" fillId="33" borderId="15" xfId="0" applyFont="1" applyFill="1" applyBorder="1" applyAlignment="1">
      <alignment vertical="center" wrapText="1"/>
    </xf>
    <xf numFmtId="0" fontId="39" fillId="0" borderId="31" xfId="0" applyFont="1" applyBorder="1" applyAlignment="1">
      <alignment horizontal="center" vertical="top" wrapText="1"/>
    </xf>
    <xf numFmtId="0" fontId="41" fillId="0" borderId="31" xfId="44" applyFont="1" applyBorder="1" applyAlignment="1">
      <alignment vertical="top" wrapText="1"/>
    </xf>
    <xf numFmtId="0" fontId="41" fillId="0" borderId="31" xfId="44" applyFont="1" applyBorder="1" applyAlignment="1">
      <alignment horizontal="center" vertical="center" wrapText="1"/>
    </xf>
    <xf numFmtId="0" fontId="42" fillId="37" borderId="31" xfId="0" applyFont="1" applyFill="1" applyBorder="1" applyAlignment="1">
      <alignment horizontal="right" vertical="top"/>
    </xf>
    <xf numFmtId="3" fontId="43" fillId="0" borderId="31" xfId="44" applyNumberFormat="1" applyFont="1" applyBorder="1" applyAlignment="1">
      <alignment horizontal="center" vertical="center" wrapText="1"/>
    </xf>
    <xf numFmtId="3" fontId="44" fillId="36" borderId="31" xfId="0" applyNumberFormat="1" applyFont="1" applyFill="1" applyBorder="1" applyAlignment="1">
      <alignment horizontal="center" vertical="center"/>
    </xf>
    <xf numFmtId="3" fontId="44" fillId="34" borderId="31" xfId="0" applyNumberFormat="1" applyFont="1" applyFill="1" applyBorder="1" applyAlignment="1">
      <alignment horizontal="center" vertical="center"/>
    </xf>
    <xf numFmtId="3" fontId="45" fillId="34" borderId="31" xfId="0" applyNumberFormat="1" applyFont="1" applyFill="1" applyBorder="1" applyAlignment="1">
      <alignment horizontal="center" vertical="center"/>
    </xf>
    <xf numFmtId="3" fontId="20" fillId="34" borderId="31" xfId="45" applyNumberFormat="1" applyFont="1" applyFill="1" applyBorder="1" applyAlignment="1">
      <alignment horizontal="center" vertical="center"/>
    </xf>
    <xf numFmtId="3" fontId="20" fillId="0" borderId="31" xfId="45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top"/>
    </xf>
    <xf numFmtId="3" fontId="43" fillId="0" borderId="31" xfId="44" applyNumberFormat="1" applyFont="1" applyBorder="1" applyAlignment="1">
      <alignment horizontal="right" vertical="center" wrapText="1"/>
    </xf>
    <xf numFmtId="3" fontId="37" fillId="0" borderId="13" xfId="42" applyNumberFormat="1" applyFont="1" applyBorder="1" applyAlignment="1">
      <alignment horizontal="center" vertical="center" textRotation="90"/>
    </xf>
    <xf numFmtId="3" fontId="37" fillId="0" borderId="27" xfId="42" applyNumberFormat="1" applyFont="1" applyBorder="1" applyAlignment="1">
      <alignment horizontal="center" vertical="center" textRotation="90"/>
    </xf>
    <xf numFmtId="3" fontId="37" fillId="0" borderId="17" xfId="42" applyNumberFormat="1" applyFont="1" applyBorder="1" applyAlignment="1">
      <alignment horizontal="center" vertical="center" textRotation="90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27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textRotation="90"/>
    </xf>
    <xf numFmtId="0" fontId="18" fillId="0" borderId="17" xfId="0" applyFont="1" applyBorder="1" applyAlignment="1">
      <alignment horizontal="center" vertical="center" textRotation="90"/>
    </xf>
    <xf numFmtId="0" fontId="29" fillId="0" borderId="0" xfId="0" applyFont="1"/>
    <xf numFmtId="0" fontId="0" fillId="0" borderId="0" xfId="0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25" fillId="33" borderId="31" xfId="0" applyFont="1" applyFill="1" applyBorder="1" applyAlignment="1"/>
    <xf numFmtId="0" fontId="25" fillId="33" borderId="31" xfId="0" applyFont="1" applyFill="1" applyBorder="1" applyAlignment="1">
      <alignment wrapText="1"/>
    </xf>
    <xf numFmtId="3" fontId="26" fillId="0" borderId="31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top"/>
    </xf>
    <xf numFmtId="0" fontId="26" fillId="0" borderId="31" xfId="0" applyFont="1" applyBorder="1" applyAlignment="1">
      <alignment horizontal="left" vertical="top" wrapText="1"/>
    </xf>
    <xf numFmtId="0" fontId="26" fillId="0" borderId="31" xfId="0" applyFont="1" applyBorder="1" applyAlignment="1">
      <alignment horizontal="center" vertical="top" wrapText="1"/>
    </xf>
    <xf numFmtId="164" fontId="26" fillId="0" borderId="31" xfId="0" applyNumberFormat="1" applyFont="1" applyBorder="1" applyAlignment="1">
      <alignment vertical="top"/>
    </xf>
    <xf numFmtId="49" fontId="28" fillId="0" borderId="31" xfId="0" applyNumberFormat="1" applyFont="1" applyBorder="1" applyAlignment="1">
      <alignment horizontal="center" vertical="top"/>
    </xf>
    <xf numFmtId="0" fontId="28" fillId="0" borderId="31" xfId="0" applyFont="1" applyBorder="1" applyAlignment="1">
      <alignment horizontal="center" vertical="top" wrapText="1"/>
    </xf>
    <xf numFmtId="0" fontId="28" fillId="0" borderId="31" xfId="0" applyFont="1" applyBorder="1" applyAlignment="1">
      <alignment horizontal="left" vertical="top" wrapText="1" indent="2"/>
    </xf>
    <xf numFmtId="164" fontId="28" fillId="0" borderId="31" xfId="0" applyNumberFormat="1" applyFont="1" applyBorder="1" applyAlignment="1">
      <alignment horizontal="right" vertical="top"/>
    </xf>
    <xf numFmtId="49" fontId="30" fillId="0" borderId="31" xfId="0" applyNumberFormat="1" applyFont="1" applyBorder="1" applyAlignment="1">
      <alignment horizontal="center" vertical="top"/>
    </xf>
    <xf numFmtId="0" fontId="30" fillId="0" borderId="31" xfId="0" applyFont="1" applyBorder="1" applyAlignment="1">
      <alignment horizontal="center" vertical="top" wrapText="1"/>
    </xf>
    <xf numFmtId="0" fontId="30" fillId="0" borderId="31" xfId="0" applyFont="1" applyBorder="1" applyAlignment="1">
      <alignment horizontal="left" vertical="top" wrapText="1" indent="2"/>
    </xf>
    <xf numFmtId="164" fontId="30" fillId="0" borderId="31" xfId="0" applyNumberFormat="1" applyFont="1" applyBorder="1" applyAlignment="1">
      <alignment horizontal="right" vertical="top"/>
    </xf>
    <xf numFmtId="49" fontId="32" fillId="0" borderId="31" xfId="0" applyNumberFormat="1" applyFont="1" applyBorder="1" applyAlignment="1">
      <alignment horizontal="center" vertical="top"/>
    </xf>
    <xf numFmtId="0" fontId="32" fillId="0" borderId="31" xfId="0" applyFont="1" applyBorder="1" applyAlignment="1">
      <alignment horizontal="center" vertical="top" wrapText="1"/>
    </xf>
    <xf numFmtId="0" fontId="32" fillId="0" borderId="31" xfId="0" applyFont="1" applyBorder="1" applyAlignment="1">
      <alignment horizontal="left" vertical="top" wrapText="1" indent="2"/>
    </xf>
    <xf numFmtId="3" fontId="32" fillId="0" borderId="31" xfId="0" applyNumberFormat="1" applyFont="1" applyBorder="1" applyAlignment="1">
      <alignment horizontal="right" vertical="top"/>
    </xf>
    <xf numFmtId="164" fontId="32" fillId="0" borderId="31" xfId="0" applyNumberFormat="1" applyFont="1" applyBorder="1" applyAlignment="1">
      <alignment horizontal="right" vertical="top"/>
    </xf>
    <xf numFmtId="3" fontId="28" fillId="0" borderId="31" xfId="0" applyNumberFormat="1" applyFont="1" applyBorder="1" applyAlignment="1">
      <alignment horizontal="right" vertical="top"/>
    </xf>
    <xf numFmtId="3" fontId="26" fillId="0" borderId="31" xfId="0" applyNumberFormat="1" applyFont="1" applyBorder="1" applyAlignment="1">
      <alignment vertical="top"/>
    </xf>
    <xf numFmtId="3" fontId="30" fillId="0" borderId="31" xfId="0" applyNumberFormat="1" applyFont="1" applyBorder="1" applyAlignment="1">
      <alignment horizontal="right" vertical="top"/>
    </xf>
    <xf numFmtId="49" fontId="39" fillId="36" borderId="31" xfId="0" applyNumberFormat="1" applyFont="1" applyFill="1" applyBorder="1" applyAlignment="1">
      <alignment horizontal="center" vertical="top" wrapText="1"/>
    </xf>
    <xf numFmtId="0" fontId="25" fillId="33" borderId="31" xfId="0" applyFont="1" applyFill="1" applyBorder="1"/>
    <xf numFmtId="0" fontId="18" fillId="0" borderId="31" xfId="0" applyFont="1" applyBorder="1"/>
    <xf numFmtId="0" fontId="18" fillId="0" borderId="31" xfId="0" applyFont="1" applyBorder="1" applyAlignment="1">
      <alignment vertical="top"/>
    </xf>
    <xf numFmtId="0" fontId="27" fillId="0" borderId="31" xfId="0" applyFont="1" applyBorder="1" applyAlignment="1">
      <alignment vertical="top"/>
    </xf>
    <xf numFmtId="0" fontId="29" fillId="0" borderId="31" xfId="0" applyFont="1" applyBorder="1" applyAlignment="1">
      <alignment vertical="top"/>
    </xf>
    <xf numFmtId="0" fontId="31" fillId="0" borderId="31" xfId="0" applyFont="1" applyBorder="1" applyAlignment="1">
      <alignment vertical="top"/>
    </xf>
    <xf numFmtId="3" fontId="46" fillId="0" borderId="31" xfId="0" applyNumberFormat="1" applyFont="1" applyBorder="1" applyAlignment="1">
      <alignment horizontal="right" vertical="top"/>
    </xf>
    <xf numFmtId="0" fontId="28" fillId="0" borderId="31" xfId="0" applyFont="1" applyBorder="1" applyAlignment="1">
      <alignment horizontal="right" vertical="top"/>
    </xf>
    <xf numFmtId="167" fontId="26" fillId="0" borderId="31" xfId="0" applyNumberFormat="1" applyFont="1" applyBorder="1" applyAlignment="1">
      <alignment vertical="top"/>
    </xf>
    <xf numFmtId="0" fontId="28" fillId="0" borderId="31" xfId="0" applyFont="1" applyBorder="1" applyAlignment="1">
      <alignment horizontal="left" vertical="top" wrapText="1"/>
    </xf>
    <xf numFmtId="0" fontId="30" fillId="0" borderId="31" xfId="0" applyFont="1" applyBorder="1" applyAlignment="1">
      <alignment horizontal="left" vertical="top" wrapText="1"/>
    </xf>
    <xf numFmtId="0" fontId="30" fillId="0" borderId="31" xfId="0" applyFont="1" applyBorder="1" applyAlignment="1">
      <alignment horizontal="right" vertical="top"/>
    </xf>
    <xf numFmtId="0" fontId="25" fillId="33" borderId="31" xfId="0" applyFont="1" applyFill="1" applyBorder="1" applyAlignment="1">
      <alignment horizontal="left" wrapText="1"/>
    </xf>
    <xf numFmtId="0" fontId="32" fillId="0" borderId="31" xfId="0" applyFont="1" applyBorder="1" applyAlignment="1">
      <alignment horizontal="left" vertical="top" wrapText="1"/>
    </xf>
    <xf numFmtId="0" fontId="32" fillId="0" borderId="31" xfId="0" applyFont="1" applyBorder="1" applyAlignment="1">
      <alignment horizontal="right" vertical="top"/>
    </xf>
    <xf numFmtId="4" fontId="28" fillId="0" borderId="31" xfId="0" applyNumberFormat="1" applyFont="1" applyBorder="1" applyAlignment="1">
      <alignment horizontal="right" vertical="top"/>
    </xf>
    <xf numFmtId="4" fontId="18" fillId="0" borderId="31" xfId="0" applyNumberFormat="1" applyFont="1" applyBorder="1" applyAlignment="1">
      <alignment vertical="top"/>
    </xf>
  </cellXfs>
  <cellStyles count="46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5" xr:uid="{49987981-0C86-4547-8327-CA163D9A6FEF}"/>
    <cellStyle name="Обычный 3" xfId="44" xr:uid="{C52CA5C3-9A25-4506-A419-F78D5C8EE060}"/>
    <cellStyle name="Обычный_14374_F5_1_ОБЩЕСТРОИТЕЛЬНЫЕ РАБОТЫ1" xfId="42" xr:uid="{3FA3347F-B28B-41C0-A0EC-E98DF764475E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 2" xfId="43" xr:uid="{251D0DB5-EE6E-490E-AC77-DEDC0F124DC3}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32"/>
  <sheetViews>
    <sheetView showGridLines="0" tabSelected="1" topLeftCell="A4" workbookViewId="0">
      <pane xSplit="9" ySplit="12" topLeftCell="J1791" activePane="bottomRight" state="frozen"/>
      <selection activeCell="A4" sqref="A4"/>
      <selection pane="topRight" activeCell="G4" sqref="G4"/>
      <selection pane="bottomLeft" activeCell="A16" sqref="A16"/>
      <selection pane="bottomRight" activeCell="F1822" sqref="F1822"/>
    </sheetView>
  </sheetViews>
  <sheetFormatPr defaultRowHeight="12.75" x14ac:dyDescent="0.2"/>
  <cols>
    <col min="4" max="4" width="6.33203125" style="48" customWidth="1"/>
    <col min="5" max="5" width="18.5" customWidth="1"/>
    <col min="6" max="6" width="83" customWidth="1"/>
    <col min="7" max="7" width="15.1640625" customWidth="1"/>
    <col min="8" max="8" width="11.83203125" customWidth="1"/>
    <col min="9" max="9" width="14.1640625" customWidth="1"/>
    <col min="10" max="10" width="22" customWidth="1"/>
    <col min="11" max="11" width="22.6640625" customWidth="1"/>
    <col min="12" max="12" width="18.1640625" customWidth="1"/>
    <col min="13" max="13" width="13.33203125" customWidth="1"/>
    <col min="14" max="14" width="14.83203125" customWidth="1"/>
    <col min="15" max="15" width="11.83203125" customWidth="1"/>
    <col min="16" max="16" width="12.33203125" customWidth="1"/>
  </cols>
  <sheetData>
    <row r="1" spans="4:16" s="1" customFormat="1" x14ac:dyDescent="0.2">
      <c r="D1" s="2"/>
      <c r="E1" s="2"/>
      <c r="F1" s="2"/>
      <c r="G1" s="2"/>
      <c r="H1" s="2"/>
      <c r="I1" s="3" t="s">
        <v>0</v>
      </c>
      <c r="J1" s="2"/>
    </row>
    <row r="2" spans="4:16" s="1" customFormat="1" ht="25.5" x14ac:dyDescent="0.2">
      <c r="D2" s="2"/>
      <c r="E2" s="94" t="s">
        <v>1</v>
      </c>
      <c r="F2" s="94"/>
      <c r="G2" s="94"/>
      <c r="H2" s="94"/>
      <c r="I2" s="94"/>
      <c r="J2" s="2"/>
    </row>
    <row r="3" spans="4:16" s="1" customFormat="1" ht="22.5" x14ac:dyDescent="0.2">
      <c r="D3" s="45"/>
      <c r="E3" s="83" t="s">
        <v>2</v>
      </c>
      <c r="F3" s="83"/>
      <c r="G3" s="83"/>
      <c r="H3" s="83"/>
      <c r="I3" s="83"/>
      <c r="J3" s="2"/>
    </row>
    <row r="4" spans="4:16" s="1" customFormat="1" x14ac:dyDescent="0.2">
      <c r="D4" s="2"/>
      <c r="E4" s="2"/>
      <c r="F4" s="6"/>
      <c r="G4" s="6"/>
      <c r="H4" s="6"/>
      <c r="I4" s="6"/>
      <c r="J4" s="2"/>
    </row>
    <row r="5" spans="4:16" s="1" customFormat="1" ht="15.75" x14ac:dyDescent="0.2">
      <c r="D5" s="7"/>
      <c r="E5" s="7"/>
      <c r="F5" s="8" t="s">
        <v>3</v>
      </c>
      <c r="G5" s="95"/>
      <c r="H5" s="95"/>
      <c r="I5" s="95"/>
      <c r="J5" s="2"/>
    </row>
    <row r="6" spans="4:16" s="1" customFormat="1" ht="22.5" x14ac:dyDescent="0.2">
      <c r="D6" s="45"/>
      <c r="E6" s="93" t="s">
        <v>4</v>
      </c>
      <c r="F6" s="93"/>
      <c r="G6" s="93"/>
      <c r="H6" s="93"/>
      <c r="I6" s="93"/>
      <c r="J6" s="2"/>
    </row>
    <row r="7" spans="4:16" s="1" customFormat="1" x14ac:dyDescent="0.2">
      <c r="D7" s="2"/>
      <c r="E7" s="2"/>
      <c r="F7" s="2"/>
      <c r="G7" s="6"/>
      <c r="H7" s="2"/>
      <c r="I7" s="9" t="s">
        <v>5</v>
      </c>
      <c r="J7" s="2"/>
    </row>
    <row r="8" spans="4:16" s="1" customFormat="1" x14ac:dyDescent="0.2">
      <c r="D8" s="9" t="s">
        <v>6</v>
      </c>
      <c r="E8" s="109" t="s">
        <v>1680</v>
      </c>
      <c r="F8" s="94"/>
      <c r="G8" s="94"/>
      <c r="H8" s="94"/>
      <c r="I8" s="94"/>
      <c r="J8" s="2"/>
    </row>
    <row r="9" spans="4:16" s="1" customFormat="1" ht="12.75" customHeight="1" x14ac:dyDescent="0.2">
      <c r="D9" s="45"/>
      <c r="E9" s="83" t="s">
        <v>7</v>
      </c>
      <c r="F9" s="83"/>
      <c r="G9" s="83"/>
      <c r="H9" s="83"/>
      <c r="I9" s="83"/>
      <c r="J9" s="2"/>
    </row>
    <row r="10" spans="4:16" s="1" customFormat="1" x14ac:dyDescent="0.2">
      <c r="D10" s="2"/>
      <c r="E10" s="2"/>
      <c r="F10" s="2"/>
      <c r="G10" s="2"/>
      <c r="H10" s="2"/>
      <c r="I10" s="2"/>
      <c r="J10" s="2"/>
    </row>
    <row r="11" spans="4:16" s="1" customFormat="1" x14ac:dyDescent="0.2">
      <c r="D11" s="4" t="s">
        <v>8</v>
      </c>
      <c r="E11" s="4"/>
      <c r="F11" s="96"/>
      <c r="G11" s="96"/>
      <c r="H11" s="96"/>
      <c r="I11" s="96"/>
      <c r="J11" s="2"/>
    </row>
    <row r="12" spans="4:16" s="10" customFormat="1" ht="12.75" customHeight="1" x14ac:dyDescent="0.2">
      <c r="D12" s="49" t="s">
        <v>9</v>
      </c>
      <c r="E12" s="114" t="s">
        <v>10</v>
      </c>
      <c r="F12" s="114" t="s">
        <v>11</v>
      </c>
      <c r="G12" s="114" t="s">
        <v>12</v>
      </c>
      <c r="H12" s="97" t="s">
        <v>13</v>
      </c>
      <c r="I12" s="98"/>
      <c r="J12" s="118" t="s">
        <v>1373</v>
      </c>
      <c r="K12" s="119"/>
      <c r="L12" s="111" t="s">
        <v>1374</v>
      </c>
      <c r="M12" s="111" t="s">
        <v>1375</v>
      </c>
      <c r="N12" s="111" t="s">
        <v>1376</v>
      </c>
      <c r="O12" s="111" t="s">
        <v>1377</v>
      </c>
      <c r="P12" s="111" t="s">
        <v>1378</v>
      </c>
    </row>
    <row r="13" spans="4:16" s="10" customFormat="1" ht="24" x14ac:dyDescent="0.2">
      <c r="D13" s="50"/>
      <c r="E13" s="115"/>
      <c r="F13" s="115"/>
      <c r="G13" s="117"/>
      <c r="H13" s="11" t="s">
        <v>14</v>
      </c>
      <c r="I13" s="11" t="s">
        <v>15</v>
      </c>
      <c r="J13" s="120"/>
      <c r="K13" s="121"/>
      <c r="L13" s="122"/>
      <c r="M13" s="112"/>
      <c r="N13" s="112"/>
      <c r="O13" s="112"/>
      <c r="P13" s="112"/>
    </row>
    <row r="14" spans="4:16" s="12" customFormat="1" x14ac:dyDescent="0.2">
      <c r="D14" s="46"/>
      <c r="E14" s="116"/>
      <c r="F14" s="116"/>
      <c r="G14" s="13"/>
      <c r="H14" s="13"/>
      <c r="I14" s="13"/>
      <c r="J14" s="36" t="s">
        <v>1379</v>
      </c>
      <c r="K14" s="37" t="s">
        <v>1380</v>
      </c>
      <c r="L14" s="123"/>
      <c r="M14" s="113"/>
      <c r="N14" s="113"/>
      <c r="O14" s="113"/>
      <c r="P14" s="113"/>
    </row>
    <row r="15" spans="4:16" ht="12.75" customHeight="1" x14ac:dyDescent="0.2">
      <c r="D15" s="47">
        <v>1</v>
      </c>
      <c r="E15" s="42">
        <v>2</v>
      </c>
      <c r="F15" s="42">
        <v>3</v>
      </c>
      <c r="G15" s="42">
        <v>4</v>
      </c>
      <c r="H15" s="42">
        <v>5</v>
      </c>
      <c r="I15" s="42">
        <v>6</v>
      </c>
      <c r="J15" s="38">
        <v>7</v>
      </c>
      <c r="K15" s="39">
        <v>8</v>
      </c>
      <c r="L15" s="40">
        <v>9</v>
      </c>
      <c r="M15" s="40">
        <v>10</v>
      </c>
      <c r="N15" s="40">
        <v>11</v>
      </c>
      <c r="O15" s="40">
        <v>12</v>
      </c>
      <c r="P15" s="40">
        <v>13</v>
      </c>
    </row>
    <row r="16" spans="4:16" x14ac:dyDescent="0.2">
      <c r="D16" s="125"/>
      <c r="E16" s="125"/>
      <c r="F16" s="125"/>
      <c r="G16" s="125"/>
      <c r="H16" s="125"/>
      <c r="I16" s="126"/>
      <c r="J16" s="41"/>
      <c r="K16" s="41"/>
      <c r="L16" s="41"/>
      <c r="M16" s="41"/>
      <c r="N16" s="41"/>
      <c r="O16" s="41"/>
      <c r="P16" s="41"/>
    </row>
    <row r="17" spans="1:16" ht="15.75" x14ac:dyDescent="0.25">
      <c r="A17" s="1" t="s">
        <v>1385</v>
      </c>
      <c r="B17" s="1" t="s">
        <v>1386</v>
      </c>
      <c r="C17" s="1"/>
      <c r="D17" s="127" t="s">
        <v>16</v>
      </c>
      <c r="E17" s="128"/>
      <c r="F17" s="128"/>
      <c r="G17" s="128"/>
      <c r="H17" s="128"/>
      <c r="I17" s="128"/>
      <c r="J17" s="129"/>
      <c r="K17" s="129"/>
      <c r="L17" s="129"/>
      <c r="M17" s="129"/>
      <c r="N17" s="129"/>
      <c r="O17" s="129"/>
      <c r="P17" s="129"/>
    </row>
    <row r="18" spans="1:16" ht="15.75" x14ac:dyDescent="0.25">
      <c r="A18" s="1" t="s">
        <v>1385</v>
      </c>
      <c r="B18" s="1" t="s">
        <v>1386</v>
      </c>
      <c r="C18" s="1"/>
      <c r="D18" s="127" t="s">
        <v>17</v>
      </c>
      <c r="E18" s="128"/>
      <c r="F18" s="128"/>
      <c r="G18" s="128"/>
      <c r="H18" s="128"/>
      <c r="I18" s="128"/>
      <c r="J18" s="129"/>
      <c r="K18" s="129"/>
      <c r="L18" s="129"/>
      <c r="M18" s="129"/>
      <c r="N18" s="129"/>
      <c r="O18" s="129"/>
      <c r="P18" s="129"/>
    </row>
    <row r="19" spans="1:16" s="1" customFormat="1" ht="42.75" customHeight="1" x14ac:dyDescent="0.2">
      <c r="A19" s="1" t="s">
        <v>1385</v>
      </c>
      <c r="B19" s="1" t="s">
        <v>1386</v>
      </c>
      <c r="C19" s="1" t="s">
        <v>1397</v>
      </c>
      <c r="D19" s="130" t="s">
        <v>18</v>
      </c>
      <c r="E19" s="131" t="s">
        <v>19</v>
      </c>
      <c r="F19" s="131" t="s">
        <v>20</v>
      </c>
      <c r="G19" s="132" t="s">
        <v>21</v>
      </c>
      <c r="H19" s="133">
        <v>1.1025</v>
      </c>
      <c r="I19" s="133"/>
      <c r="J19" s="129"/>
      <c r="K19" s="129"/>
      <c r="L19" s="129"/>
      <c r="M19" s="129"/>
      <c r="N19" s="129"/>
      <c r="O19" s="129"/>
      <c r="P19" s="129"/>
    </row>
    <row r="20" spans="1:16" s="14" customFormat="1" x14ac:dyDescent="0.2">
      <c r="A20" s="1" t="s">
        <v>1385</v>
      </c>
      <c r="B20" s="1" t="s">
        <v>1386</v>
      </c>
      <c r="C20" s="1" t="s">
        <v>24</v>
      </c>
      <c r="D20" s="134" t="s">
        <v>22</v>
      </c>
      <c r="E20" s="135" t="s">
        <v>18</v>
      </c>
      <c r="F20" s="136" t="s">
        <v>23</v>
      </c>
      <c r="G20" s="135" t="s">
        <v>24</v>
      </c>
      <c r="H20" s="137">
        <v>153.01</v>
      </c>
      <c r="I20" s="137">
        <v>168.6935</v>
      </c>
      <c r="J20" s="129">
        <v>22914.53</v>
      </c>
      <c r="K20" s="129">
        <f t="shared" ref="K20:K25" si="0">+J20*I20</f>
        <v>3865532.2665549996</v>
      </c>
      <c r="L20" s="129">
        <f>+I20*J20</f>
        <v>3865532.2665549996</v>
      </c>
      <c r="M20" s="129"/>
      <c r="N20" s="129"/>
      <c r="O20" s="129"/>
      <c r="P20" s="129"/>
    </row>
    <row r="21" spans="1:16" s="15" customFormat="1" x14ac:dyDescent="0.2">
      <c r="A21" s="1" t="s">
        <v>1385</v>
      </c>
      <c r="B21" s="1" t="s">
        <v>1386</v>
      </c>
      <c r="C21" s="1" t="s">
        <v>28</v>
      </c>
      <c r="D21" s="138" t="s">
        <v>25</v>
      </c>
      <c r="E21" s="139" t="s">
        <v>26</v>
      </c>
      <c r="F21" s="140" t="s">
        <v>27</v>
      </c>
      <c r="G21" s="139" t="s">
        <v>28</v>
      </c>
      <c r="H21" s="141">
        <v>12.47</v>
      </c>
      <c r="I21" s="141">
        <v>13.748200000000001</v>
      </c>
      <c r="J21" s="129">
        <v>1253</v>
      </c>
      <c r="K21" s="129">
        <f t="shared" si="0"/>
        <v>17226.494600000002</v>
      </c>
      <c r="L21" s="129"/>
      <c r="M21" s="129">
        <f>+J21*I21</f>
        <v>17226.494600000002</v>
      </c>
      <c r="N21" s="129"/>
      <c r="O21" s="129"/>
      <c r="P21" s="129"/>
    </row>
    <row r="22" spans="1:16" s="15" customFormat="1" x14ac:dyDescent="0.2">
      <c r="A22" s="1" t="s">
        <v>1385</v>
      </c>
      <c r="B22" s="1" t="s">
        <v>1386</v>
      </c>
      <c r="C22" s="1" t="s">
        <v>28</v>
      </c>
      <c r="D22" s="138" t="s">
        <v>29</v>
      </c>
      <c r="E22" s="139" t="s">
        <v>30</v>
      </c>
      <c r="F22" s="140" t="s">
        <v>31</v>
      </c>
      <c r="G22" s="139" t="s">
        <v>28</v>
      </c>
      <c r="H22" s="141">
        <v>3.57</v>
      </c>
      <c r="I22" s="141">
        <v>3.9359000000000002</v>
      </c>
      <c r="J22" s="129">
        <v>106655</v>
      </c>
      <c r="K22" s="129">
        <f t="shared" si="0"/>
        <v>419783.41450000001</v>
      </c>
      <c r="L22" s="129"/>
      <c r="M22" s="129">
        <f>+J22*I22</f>
        <v>419783.41450000001</v>
      </c>
      <c r="N22" s="129"/>
      <c r="O22" s="129"/>
      <c r="P22" s="129"/>
    </row>
    <row r="23" spans="1:16" s="15" customFormat="1" x14ac:dyDescent="0.2">
      <c r="A23" s="1" t="s">
        <v>1385</v>
      </c>
      <c r="B23" s="1" t="s">
        <v>1386</v>
      </c>
      <c r="C23" s="1" t="s">
        <v>28</v>
      </c>
      <c r="D23" s="138" t="s">
        <v>32</v>
      </c>
      <c r="E23" s="139" t="s">
        <v>33</v>
      </c>
      <c r="F23" s="140" t="s">
        <v>34</v>
      </c>
      <c r="G23" s="139" t="s">
        <v>28</v>
      </c>
      <c r="H23" s="141">
        <v>19.22</v>
      </c>
      <c r="I23" s="141">
        <v>21.19</v>
      </c>
      <c r="J23" s="129">
        <v>1732</v>
      </c>
      <c r="K23" s="129">
        <f t="shared" si="0"/>
        <v>36701.08</v>
      </c>
      <c r="L23" s="129"/>
      <c r="M23" s="129">
        <f>+J23*I23</f>
        <v>36701.08</v>
      </c>
      <c r="N23" s="129"/>
      <c r="O23" s="129"/>
      <c r="P23" s="129"/>
    </row>
    <row r="24" spans="1:16" s="16" customFormat="1" x14ac:dyDescent="0.2">
      <c r="A24" s="1" t="s">
        <v>1385</v>
      </c>
      <c r="B24" s="1" t="s">
        <v>1386</v>
      </c>
      <c r="C24" s="1" t="s">
        <v>1399</v>
      </c>
      <c r="D24" s="142" t="s">
        <v>35</v>
      </c>
      <c r="E24" s="143" t="s">
        <v>36</v>
      </c>
      <c r="F24" s="144" t="s">
        <v>37</v>
      </c>
      <c r="G24" s="143" t="s">
        <v>38</v>
      </c>
      <c r="H24" s="145">
        <v>100</v>
      </c>
      <c r="I24" s="146">
        <v>110.25</v>
      </c>
      <c r="J24" s="129">
        <v>650000</v>
      </c>
      <c r="K24" s="129">
        <f t="shared" si="0"/>
        <v>71662500</v>
      </c>
      <c r="L24" s="129"/>
      <c r="M24" s="129"/>
      <c r="N24" s="129">
        <f>+I24*J24</f>
        <v>71662500</v>
      </c>
      <c r="O24" s="129"/>
      <c r="P24" s="129"/>
    </row>
    <row r="25" spans="1:16" s="16" customFormat="1" ht="36" x14ac:dyDescent="0.2">
      <c r="A25" s="1" t="s">
        <v>1385</v>
      </c>
      <c r="B25" s="1" t="s">
        <v>1386</v>
      </c>
      <c r="C25" s="1" t="s">
        <v>1399</v>
      </c>
      <c r="D25" s="142" t="s">
        <v>39</v>
      </c>
      <c r="E25" s="143" t="s">
        <v>40</v>
      </c>
      <c r="F25" s="144" t="s">
        <v>41</v>
      </c>
      <c r="G25" s="143" t="s">
        <v>42</v>
      </c>
      <c r="H25" s="145">
        <v>69</v>
      </c>
      <c r="I25" s="146">
        <v>76.072500000000005</v>
      </c>
      <c r="J25" s="129">
        <v>55000</v>
      </c>
      <c r="K25" s="129">
        <f t="shared" si="0"/>
        <v>4183987.5000000005</v>
      </c>
      <c r="L25" s="129"/>
      <c r="M25" s="129"/>
      <c r="N25" s="129">
        <f>+I25*J25</f>
        <v>4183987.5000000005</v>
      </c>
      <c r="O25" s="129"/>
      <c r="P25" s="129"/>
    </row>
    <row r="26" spans="1:16" s="1" customFormat="1" ht="41.25" customHeight="1" x14ac:dyDescent="0.2">
      <c r="A26" s="1" t="s">
        <v>1385</v>
      </c>
      <c r="B26" s="1" t="s">
        <v>1386</v>
      </c>
      <c r="C26" s="1" t="s">
        <v>1397</v>
      </c>
      <c r="D26" s="130" t="s">
        <v>43</v>
      </c>
      <c r="E26" s="131" t="s">
        <v>44</v>
      </c>
      <c r="F26" s="131" t="s">
        <v>45</v>
      </c>
      <c r="G26" s="132" t="s">
        <v>21</v>
      </c>
      <c r="H26" s="133">
        <v>0.70199999999999996</v>
      </c>
      <c r="I26" s="133"/>
      <c r="J26" s="129"/>
      <c r="K26" s="129"/>
      <c r="L26" s="129"/>
      <c r="M26" s="129"/>
      <c r="N26" s="129"/>
      <c r="O26" s="129"/>
      <c r="P26" s="129"/>
    </row>
    <row r="27" spans="1:16" s="14" customFormat="1" x14ac:dyDescent="0.2">
      <c r="A27" s="1" t="s">
        <v>1385</v>
      </c>
      <c r="B27" s="1" t="s">
        <v>1386</v>
      </c>
      <c r="C27" s="1" t="s">
        <v>24</v>
      </c>
      <c r="D27" s="134" t="s">
        <v>46</v>
      </c>
      <c r="E27" s="135" t="s">
        <v>18</v>
      </c>
      <c r="F27" s="136" t="s">
        <v>23</v>
      </c>
      <c r="G27" s="135" t="s">
        <v>24</v>
      </c>
      <c r="H27" s="137">
        <v>196.93</v>
      </c>
      <c r="I27" s="137">
        <v>138.2449</v>
      </c>
      <c r="J27" s="129">
        <v>22914.53</v>
      </c>
      <c r="K27" s="129">
        <f t="shared" ref="K27:K32" si="1">+J27*I27</f>
        <v>3167816.9083969998</v>
      </c>
      <c r="L27" s="129">
        <f>+I27*J27</f>
        <v>3167816.9083969998</v>
      </c>
      <c r="M27" s="129"/>
      <c r="N27" s="129"/>
      <c r="O27" s="129"/>
      <c r="P27" s="129"/>
    </row>
    <row r="28" spans="1:16" s="15" customFormat="1" x14ac:dyDescent="0.2">
      <c r="A28" s="1" t="s">
        <v>1385</v>
      </c>
      <c r="B28" s="1" t="s">
        <v>1386</v>
      </c>
      <c r="C28" s="1" t="s">
        <v>28</v>
      </c>
      <c r="D28" s="138" t="s">
        <v>47</v>
      </c>
      <c r="E28" s="139" t="s">
        <v>26</v>
      </c>
      <c r="F28" s="140" t="s">
        <v>27</v>
      </c>
      <c r="G28" s="139" t="s">
        <v>28</v>
      </c>
      <c r="H28" s="141">
        <v>19.62</v>
      </c>
      <c r="I28" s="141">
        <v>13.773199999999999</v>
      </c>
      <c r="J28" s="129">
        <v>1253</v>
      </c>
      <c r="K28" s="129">
        <f t="shared" si="1"/>
        <v>17257.819599999999</v>
      </c>
      <c r="L28" s="129"/>
      <c r="M28" s="129">
        <f>+J28*I28</f>
        <v>17257.819599999999</v>
      </c>
      <c r="N28" s="129"/>
      <c r="O28" s="129"/>
      <c r="P28" s="129"/>
    </row>
    <row r="29" spans="1:16" s="15" customFormat="1" x14ac:dyDescent="0.2">
      <c r="A29" s="1" t="s">
        <v>1385</v>
      </c>
      <c r="B29" s="1" t="s">
        <v>1386</v>
      </c>
      <c r="C29" s="1" t="s">
        <v>28</v>
      </c>
      <c r="D29" s="138" t="s">
        <v>48</v>
      </c>
      <c r="E29" s="139" t="s">
        <v>30</v>
      </c>
      <c r="F29" s="140" t="s">
        <v>31</v>
      </c>
      <c r="G29" s="139" t="s">
        <v>28</v>
      </c>
      <c r="H29" s="141">
        <v>3.57</v>
      </c>
      <c r="I29" s="141">
        <v>2.5061</v>
      </c>
      <c r="J29" s="129">
        <v>106655</v>
      </c>
      <c r="K29" s="129">
        <f t="shared" si="1"/>
        <v>267288.0955</v>
      </c>
      <c r="L29" s="129"/>
      <c r="M29" s="129">
        <f>+J29*I29</f>
        <v>267288.0955</v>
      </c>
      <c r="N29" s="129"/>
      <c r="O29" s="129"/>
      <c r="P29" s="129"/>
    </row>
    <row r="30" spans="1:16" s="15" customFormat="1" x14ac:dyDescent="0.2">
      <c r="A30" s="1" t="s">
        <v>1385</v>
      </c>
      <c r="B30" s="1" t="s">
        <v>1386</v>
      </c>
      <c r="C30" s="1" t="s">
        <v>28</v>
      </c>
      <c r="D30" s="138" t="s">
        <v>49</v>
      </c>
      <c r="E30" s="139" t="s">
        <v>33</v>
      </c>
      <c r="F30" s="140" t="s">
        <v>34</v>
      </c>
      <c r="G30" s="139" t="s">
        <v>28</v>
      </c>
      <c r="H30" s="141">
        <v>30.23</v>
      </c>
      <c r="I30" s="141">
        <v>21.221499999999999</v>
      </c>
      <c r="J30" s="129">
        <v>1732</v>
      </c>
      <c r="K30" s="129">
        <f t="shared" si="1"/>
        <v>36755.637999999999</v>
      </c>
      <c r="L30" s="129"/>
      <c r="M30" s="129">
        <f>+J30*I30</f>
        <v>36755.637999999999</v>
      </c>
      <c r="N30" s="129"/>
      <c r="O30" s="129"/>
      <c r="P30" s="129"/>
    </row>
    <row r="31" spans="1:16" s="16" customFormat="1" x14ac:dyDescent="0.2">
      <c r="A31" s="1" t="s">
        <v>1385</v>
      </c>
      <c r="B31" s="1" t="s">
        <v>1386</v>
      </c>
      <c r="C31" s="1" t="s">
        <v>1399</v>
      </c>
      <c r="D31" s="142" t="s">
        <v>50</v>
      </c>
      <c r="E31" s="143" t="s">
        <v>36</v>
      </c>
      <c r="F31" s="144" t="s">
        <v>37</v>
      </c>
      <c r="G31" s="143" t="s">
        <v>38</v>
      </c>
      <c r="H31" s="145">
        <v>100</v>
      </c>
      <c r="I31" s="146">
        <v>70.2</v>
      </c>
      <c r="J31" s="129">
        <v>650000</v>
      </c>
      <c r="K31" s="129">
        <f t="shared" si="1"/>
        <v>45630000</v>
      </c>
      <c r="L31" s="129"/>
      <c r="M31" s="129"/>
      <c r="N31" s="129">
        <f>+I31*J31</f>
        <v>45630000</v>
      </c>
      <c r="O31" s="129"/>
      <c r="P31" s="129"/>
    </row>
    <row r="32" spans="1:16" s="16" customFormat="1" ht="36" x14ac:dyDescent="0.2">
      <c r="A32" s="1" t="s">
        <v>1385</v>
      </c>
      <c r="B32" s="1" t="s">
        <v>1386</v>
      </c>
      <c r="C32" s="1" t="s">
        <v>1399</v>
      </c>
      <c r="D32" s="142" t="s">
        <v>51</v>
      </c>
      <c r="E32" s="143" t="s">
        <v>40</v>
      </c>
      <c r="F32" s="144" t="s">
        <v>41</v>
      </c>
      <c r="G32" s="143" t="s">
        <v>42</v>
      </c>
      <c r="H32" s="145">
        <v>92</v>
      </c>
      <c r="I32" s="146">
        <v>64.584000000000003</v>
      </c>
      <c r="J32" s="129">
        <v>55000</v>
      </c>
      <c r="K32" s="129">
        <f t="shared" si="1"/>
        <v>3552120</v>
      </c>
      <c r="L32" s="129"/>
      <c r="M32" s="129"/>
      <c r="N32" s="129">
        <f>+I32*J32</f>
        <v>3552120</v>
      </c>
      <c r="O32" s="129"/>
      <c r="P32" s="129"/>
    </row>
    <row r="33" spans="1:16" s="1" customFormat="1" ht="39" customHeight="1" x14ac:dyDescent="0.2">
      <c r="A33" s="1" t="s">
        <v>1385</v>
      </c>
      <c r="B33" s="1" t="s">
        <v>1386</v>
      </c>
      <c r="C33" s="1" t="s">
        <v>1397</v>
      </c>
      <c r="D33" s="130" t="s">
        <v>52</v>
      </c>
      <c r="E33" s="131" t="s">
        <v>53</v>
      </c>
      <c r="F33" s="131" t="s">
        <v>54</v>
      </c>
      <c r="G33" s="132" t="s">
        <v>21</v>
      </c>
      <c r="H33" s="133">
        <v>8.2500000000000004E-2</v>
      </c>
      <c r="I33" s="133"/>
      <c r="J33" s="129"/>
      <c r="K33" s="129"/>
      <c r="L33" s="129"/>
      <c r="M33" s="129"/>
      <c r="N33" s="129"/>
      <c r="O33" s="129"/>
      <c r="P33" s="129"/>
    </row>
    <row r="34" spans="1:16" s="14" customFormat="1" x14ac:dyDescent="0.2">
      <c r="A34" s="1" t="s">
        <v>1385</v>
      </c>
      <c r="B34" s="1" t="s">
        <v>1386</v>
      </c>
      <c r="C34" s="1" t="s">
        <v>24</v>
      </c>
      <c r="D34" s="134" t="s">
        <v>55</v>
      </c>
      <c r="E34" s="135" t="s">
        <v>18</v>
      </c>
      <c r="F34" s="136" t="s">
        <v>23</v>
      </c>
      <c r="G34" s="135" t="s">
        <v>24</v>
      </c>
      <c r="H34" s="137">
        <v>226.88</v>
      </c>
      <c r="I34" s="137">
        <v>18.717600000000001</v>
      </c>
      <c r="J34" s="129">
        <v>22914.53</v>
      </c>
      <c r="K34" s="129">
        <f>+J34*I34</f>
        <v>428905.00672800001</v>
      </c>
      <c r="L34" s="129">
        <f>+I34*J34</f>
        <v>428905.00672800001</v>
      </c>
      <c r="M34" s="129"/>
      <c r="N34" s="129"/>
      <c r="O34" s="129"/>
      <c r="P34" s="129"/>
    </row>
    <row r="35" spans="1:16" s="15" customFormat="1" x14ac:dyDescent="0.2">
      <c r="A35" s="1" t="s">
        <v>1385</v>
      </c>
      <c r="B35" s="1" t="s">
        <v>1386</v>
      </c>
      <c r="C35" s="1" t="s">
        <v>28</v>
      </c>
      <c r="D35" s="138" t="s">
        <v>56</v>
      </c>
      <c r="E35" s="139" t="s">
        <v>26</v>
      </c>
      <c r="F35" s="140" t="s">
        <v>27</v>
      </c>
      <c r="G35" s="139" t="s">
        <v>28</v>
      </c>
      <c r="H35" s="141">
        <v>22.89</v>
      </c>
      <c r="I35" s="141">
        <v>1.8884000000000001</v>
      </c>
      <c r="J35" s="129">
        <v>1253</v>
      </c>
      <c r="K35" s="129">
        <f>+J35*I35</f>
        <v>2366.1651999999999</v>
      </c>
      <c r="L35" s="129"/>
      <c r="M35" s="129">
        <f>+J35*I35</f>
        <v>2366.1651999999999</v>
      </c>
      <c r="N35" s="129"/>
      <c r="O35" s="129"/>
      <c r="P35" s="129"/>
    </row>
    <row r="36" spans="1:16" s="15" customFormat="1" x14ac:dyDescent="0.2">
      <c r="A36" s="1" t="s">
        <v>1385</v>
      </c>
      <c r="B36" s="1" t="s">
        <v>1386</v>
      </c>
      <c r="C36" s="1" t="s">
        <v>28</v>
      </c>
      <c r="D36" s="138" t="s">
        <v>57</v>
      </c>
      <c r="E36" s="139" t="s">
        <v>30</v>
      </c>
      <c r="F36" s="140" t="s">
        <v>31</v>
      </c>
      <c r="G36" s="139" t="s">
        <v>28</v>
      </c>
      <c r="H36" s="141">
        <v>3.57</v>
      </c>
      <c r="I36" s="141">
        <v>0.29452499999999998</v>
      </c>
      <c r="J36" s="129">
        <v>106655</v>
      </c>
      <c r="K36" s="129">
        <f>+J36*I36</f>
        <v>31412.563874999996</v>
      </c>
      <c r="L36" s="129"/>
      <c r="M36" s="129">
        <f>+J36*I36</f>
        <v>31412.563874999996</v>
      </c>
      <c r="N36" s="129"/>
      <c r="O36" s="129"/>
      <c r="P36" s="129"/>
    </row>
    <row r="37" spans="1:16" s="15" customFormat="1" x14ac:dyDescent="0.2">
      <c r="A37" s="1" t="s">
        <v>1385</v>
      </c>
      <c r="B37" s="1" t="s">
        <v>1386</v>
      </c>
      <c r="C37" s="1" t="s">
        <v>28</v>
      </c>
      <c r="D37" s="138" t="s">
        <v>58</v>
      </c>
      <c r="E37" s="139" t="s">
        <v>33</v>
      </c>
      <c r="F37" s="140" t="s">
        <v>34</v>
      </c>
      <c r="G37" s="139" t="s">
        <v>28</v>
      </c>
      <c r="H37" s="141">
        <v>35.270000000000003</v>
      </c>
      <c r="I37" s="141">
        <v>2.9098000000000002</v>
      </c>
      <c r="J37" s="129">
        <v>1732</v>
      </c>
      <c r="K37" s="129">
        <f>+J37*I37</f>
        <v>5039.7736000000004</v>
      </c>
      <c r="L37" s="129"/>
      <c r="M37" s="129">
        <f>+J37*I37</f>
        <v>5039.7736000000004</v>
      </c>
      <c r="N37" s="129"/>
      <c r="O37" s="129"/>
      <c r="P37" s="129"/>
    </row>
    <row r="38" spans="1:16" s="16" customFormat="1" x14ac:dyDescent="0.2">
      <c r="A38" s="1" t="s">
        <v>1385</v>
      </c>
      <c r="B38" s="1" t="s">
        <v>1386</v>
      </c>
      <c r="C38" s="1" t="s">
        <v>1399</v>
      </c>
      <c r="D38" s="142" t="s">
        <v>59</v>
      </c>
      <c r="E38" s="143" t="s">
        <v>36</v>
      </c>
      <c r="F38" s="144" t="s">
        <v>37</v>
      </c>
      <c r="G38" s="143" t="s">
        <v>38</v>
      </c>
      <c r="H38" s="145">
        <v>100</v>
      </c>
      <c r="I38" s="146">
        <v>8.25</v>
      </c>
      <c r="J38" s="129">
        <v>650000</v>
      </c>
      <c r="K38" s="129">
        <f>+J38*I38</f>
        <v>5362500</v>
      </c>
      <c r="L38" s="129"/>
      <c r="M38" s="129"/>
      <c r="N38" s="129">
        <f>+I38*J38</f>
        <v>5362500</v>
      </c>
      <c r="O38" s="129"/>
      <c r="P38" s="129"/>
    </row>
    <row r="39" spans="1:16" s="1" customFormat="1" ht="28.5" customHeight="1" x14ac:dyDescent="0.2">
      <c r="A39" s="1" t="s">
        <v>1385</v>
      </c>
      <c r="B39" s="1" t="s">
        <v>1386</v>
      </c>
      <c r="C39" s="1" t="s">
        <v>1397</v>
      </c>
      <c r="D39" s="130" t="s">
        <v>60</v>
      </c>
      <c r="E39" s="131" t="s">
        <v>61</v>
      </c>
      <c r="F39" s="131" t="s">
        <v>62</v>
      </c>
      <c r="G39" s="132" t="s">
        <v>63</v>
      </c>
      <c r="H39" s="133">
        <v>1.288</v>
      </c>
      <c r="I39" s="133"/>
      <c r="J39" s="129"/>
      <c r="K39" s="129"/>
      <c r="L39" s="129"/>
      <c r="M39" s="129"/>
      <c r="N39" s="129"/>
      <c r="O39" s="129"/>
      <c r="P39" s="129"/>
    </row>
    <row r="40" spans="1:16" s="14" customFormat="1" x14ac:dyDescent="0.2">
      <c r="A40" s="1" t="s">
        <v>1385</v>
      </c>
      <c r="B40" s="1" t="s">
        <v>1386</v>
      </c>
      <c r="C40" s="1" t="s">
        <v>24</v>
      </c>
      <c r="D40" s="134" t="s">
        <v>64</v>
      </c>
      <c r="E40" s="135" t="s">
        <v>18</v>
      </c>
      <c r="F40" s="136" t="s">
        <v>23</v>
      </c>
      <c r="G40" s="135" t="s">
        <v>24</v>
      </c>
      <c r="H40" s="137">
        <v>21.19</v>
      </c>
      <c r="I40" s="137">
        <v>27.2927</v>
      </c>
      <c r="J40" s="129">
        <v>22914.53</v>
      </c>
      <c r="K40" s="129">
        <f>+J40*I40</f>
        <v>625399.39293099998</v>
      </c>
      <c r="L40" s="129">
        <f>+I40*J40</f>
        <v>625399.39293099998</v>
      </c>
      <c r="M40" s="129"/>
      <c r="N40" s="129"/>
      <c r="O40" s="129"/>
      <c r="P40" s="129"/>
    </row>
    <row r="41" spans="1:16" s="15" customFormat="1" x14ac:dyDescent="0.2">
      <c r="A41" s="1" t="s">
        <v>1385</v>
      </c>
      <c r="B41" s="1" t="s">
        <v>1386</v>
      </c>
      <c r="C41" s="1" t="s">
        <v>28</v>
      </c>
      <c r="D41" s="138" t="s">
        <v>65</v>
      </c>
      <c r="E41" s="139" t="s">
        <v>30</v>
      </c>
      <c r="F41" s="140" t="s">
        <v>31</v>
      </c>
      <c r="G41" s="139" t="s">
        <v>28</v>
      </c>
      <c r="H41" s="141">
        <v>0.15</v>
      </c>
      <c r="I41" s="141">
        <v>0.19320000000000001</v>
      </c>
      <c r="J41" s="129">
        <v>106655</v>
      </c>
      <c r="K41" s="129">
        <f>+J41*I41</f>
        <v>20605.746000000003</v>
      </c>
      <c r="L41" s="129"/>
      <c r="M41" s="129">
        <f>+J41*I41</f>
        <v>20605.746000000003</v>
      </c>
      <c r="N41" s="129"/>
      <c r="O41" s="129"/>
      <c r="P41" s="129"/>
    </row>
    <row r="42" spans="1:16" s="16" customFormat="1" x14ac:dyDescent="0.2">
      <c r="A42" s="1" t="s">
        <v>1385</v>
      </c>
      <c r="B42" s="1" t="s">
        <v>1386</v>
      </c>
      <c r="C42" s="1" t="s">
        <v>1399</v>
      </c>
      <c r="D42" s="142" t="s">
        <v>66</v>
      </c>
      <c r="E42" s="143" t="s">
        <v>67</v>
      </c>
      <c r="F42" s="144" t="s">
        <v>68</v>
      </c>
      <c r="G42" s="143" t="s">
        <v>69</v>
      </c>
      <c r="H42" s="145">
        <v>100</v>
      </c>
      <c r="I42" s="146">
        <v>128.80000000000001</v>
      </c>
      <c r="J42" s="129">
        <v>46000</v>
      </c>
      <c r="K42" s="129">
        <f>+J42*I42</f>
        <v>5924800.0000000009</v>
      </c>
      <c r="L42" s="129"/>
      <c r="M42" s="129"/>
      <c r="N42" s="129">
        <f>+I42*J42</f>
        <v>5924800.0000000009</v>
      </c>
      <c r="O42" s="129"/>
      <c r="P42" s="129"/>
    </row>
    <row r="43" spans="1:16" s="1" customFormat="1" ht="39.75" customHeight="1" x14ac:dyDescent="0.2">
      <c r="A43" s="1" t="s">
        <v>1385</v>
      </c>
      <c r="B43" s="1" t="s">
        <v>1386</v>
      </c>
      <c r="C43" s="1" t="s">
        <v>1397</v>
      </c>
      <c r="D43" s="130" t="s">
        <v>70</v>
      </c>
      <c r="E43" s="131" t="s">
        <v>71</v>
      </c>
      <c r="F43" s="131" t="s">
        <v>72</v>
      </c>
      <c r="G43" s="132" t="s">
        <v>21</v>
      </c>
      <c r="H43" s="133">
        <v>1.2096</v>
      </c>
      <c r="I43" s="133"/>
      <c r="J43" s="129"/>
      <c r="K43" s="129"/>
      <c r="L43" s="129"/>
      <c r="M43" s="129"/>
      <c r="N43" s="129"/>
      <c r="O43" s="129"/>
      <c r="P43" s="129"/>
    </row>
    <row r="44" spans="1:16" s="14" customFormat="1" x14ac:dyDescent="0.2">
      <c r="A44" s="1" t="s">
        <v>1385</v>
      </c>
      <c r="B44" s="1" t="s">
        <v>1386</v>
      </c>
      <c r="C44" s="1" t="s">
        <v>24</v>
      </c>
      <c r="D44" s="134" t="s">
        <v>73</v>
      </c>
      <c r="E44" s="135" t="s">
        <v>18</v>
      </c>
      <c r="F44" s="136" t="s">
        <v>23</v>
      </c>
      <c r="G44" s="135" t="s">
        <v>24</v>
      </c>
      <c r="H44" s="137">
        <v>89.47</v>
      </c>
      <c r="I44" s="137">
        <v>108.2229</v>
      </c>
      <c r="J44" s="129">
        <v>22914.53</v>
      </c>
      <c r="K44" s="129">
        <f>+J44*I44</f>
        <v>2479876.8887369996</v>
      </c>
      <c r="L44" s="129">
        <f>+I44*J44</f>
        <v>2479876.8887369996</v>
      </c>
      <c r="M44" s="129"/>
      <c r="N44" s="129"/>
      <c r="O44" s="129"/>
      <c r="P44" s="129"/>
    </row>
    <row r="45" spans="1:16" s="15" customFormat="1" x14ac:dyDescent="0.2">
      <c r="A45" s="1" t="s">
        <v>1385</v>
      </c>
      <c r="B45" s="1" t="s">
        <v>1386</v>
      </c>
      <c r="C45" s="1" t="s">
        <v>28</v>
      </c>
      <c r="D45" s="138" t="s">
        <v>74</v>
      </c>
      <c r="E45" s="139" t="s">
        <v>26</v>
      </c>
      <c r="F45" s="140" t="s">
        <v>27</v>
      </c>
      <c r="G45" s="139" t="s">
        <v>28</v>
      </c>
      <c r="H45" s="141">
        <v>3.84</v>
      </c>
      <c r="I45" s="141">
        <v>4.6448999999999998</v>
      </c>
      <c r="J45" s="129">
        <v>1253</v>
      </c>
      <c r="K45" s="129">
        <f>+J45*I45</f>
        <v>5820.0596999999998</v>
      </c>
      <c r="L45" s="129"/>
      <c r="M45" s="129">
        <f>+J45*I45</f>
        <v>5820.0596999999998</v>
      </c>
      <c r="N45" s="129"/>
      <c r="O45" s="129"/>
      <c r="P45" s="129"/>
    </row>
    <row r="46" spans="1:16" s="15" customFormat="1" x14ac:dyDescent="0.2">
      <c r="A46" s="1" t="s">
        <v>1385</v>
      </c>
      <c r="B46" s="1" t="s">
        <v>1386</v>
      </c>
      <c r="C46" s="1" t="s">
        <v>28</v>
      </c>
      <c r="D46" s="138" t="s">
        <v>75</v>
      </c>
      <c r="E46" s="139" t="s">
        <v>30</v>
      </c>
      <c r="F46" s="140" t="s">
        <v>31</v>
      </c>
      <c r="G46" s="139" t="s">
        <v>28</v>
      </c>
      <c r="H46" s="141">
        <v>1.99</v>
      </c>
      <c r="I46" s="141">
        <v>2.4070999999999998</v>
      </c>
      <c r="J46" s="129">
        <v>106655</v>
      </c>
      <c r="K46" s="129">
        <f>+J46*I46</f>
        <v>256729.25049999997</v>
      </c>
      <c r="L46" s="129"/>
      <c r="M46" s="129">
        <f>+J46*I46</f>
        <v>256729.25049999997</v>
      </c>
      <c r="N46" s="129"/>
      <c r="O46" s="129"/>
      <c r="P46" s="129"/>
    </row>
    <row r="47" spans="1:16" s="15" customFormat="1" x14ac:dyDescent="0.2">
      <c r="A47" s="1" t="s">
        <v>1385</v>
      </c>
      <c r="B47" s="1" t="s">
        <v>1386</v>
      </c>
      <c r="C47" s="1" t="s">
        <v>28</v>
      </c>
      <c r="D47" s="138" t="s">
        <v>76</v>
      </c>
      <c r="E47" s="139" t="s">
        <v>33</v>
      </c>
      <c r="F47" s="140" t="s">
        <v>34</v>
      </c>
      <c r="G47" s="139" t="s">
        <v>28</v>
      </c>
      <c r="H47" s="141">
        <v>5.91</v>
      </c>
      <c r="I47" s="141">
        <v>7.1486999999999998</v>
      </c>
      <c r="J47" s="129">
        <v>1732</v>
      </c>
      <c r="K47" s="129">
        <f>+J47*I47</f>
        <v>12381.5484</v>
      </c>
      <c r="L47" s="129"/>
      <c r="M47" s="129">
        <f>+J47*I47</f>
        <v>12381.5484</v>
      </c>
      <c r="N47" s="129"/>
      <c r="O47" s="129"/>
      <c r="P47" s="129"/>
    </row>
    <row r="48" spans="1:16" s="16" customFormat="1" ht="24" x14ac:dyDescent="0.2">
      <c r="A48" s="1" t="s">
        <v>1385</v>
      </c>
      <c r="B48" s="1" t="s">
        <v>1386</v>
      </c>
      <c r="C48" s="1" t="s">
        <v>1399</v>
      </c>
      <c r="D48" s="142" t="s">
        <v>77</v>
      </c>
      <c r="E48" s="143" t="s">
        <v>78</v>
      </c>
      <c r="F48" s="144" t="s">
        <v>79</v>
      </c>
      <c r="G48" s="143" t="s">
        <v>38</v>
      </c>
      <c r="H48" s="145">
        <v>100</v>
      </c>
      <c r="I48" s="146">
        <v>120.96</v>
      </c>
      <c r="J48" s="129">
        <v>650000</v>
      </c>
      <c r="K48" s="129">
        <f>+J48*I48</f>
        <v>78624000</v>
      </c>
      <c r="L48" s="129"/>
      <c r="M48" s="129"/>
      <c r="N48" s="129">
        <f>+I48*J48</f>
        <v>78624000</v>
      </c>
      <c r="O48" s="129"/>
      <c r="P48" s="129"/>
    </row>
    <row r="49" spans="1:16" s="1" customFormat="1" ht="25.5" x14ac:dyDescent="0.2">
      <c r="A49" s="1" t="s">
        <v>1385</v>
      </c>
      <c r="B49" s="1" t="s">
        <v>1386</v>
      </c>
      <c r="C49" s="1" t="s">
        <v>1397</v>
      </c>
      <c r="D49" s="130" t="s">
        <v>80</v>
      </c>
      <c r="E49" s="131" t="s">
        <v>81</v>
      </c>
      <c r="F49" s="131" t="s">
        <v>82</v>
      </c>
      <c r="G49" s="132" t="s">
        <v>21</v>
      </c>
      <c r="H49" s="133">
        <v>1.1519999999999999</v>
      </c>
      <c r="I49" s="133"/>
      <c r="J49" s="129"/>
      <c r="K49" s="129"/>
      <c r="L49" s="129"/>
      <c r="M49" s="129"/>
      <c r="N49" s="129"/>
      <c r="O49" s="129"/>
      <c r="P49" s="129"/>
    </row>
    <row r="50" spans="1:16" s="14" customFormat="1" x14ac:dyDescent="0.2">
      <c r="A50" s="1" t="s">
        <v>1385</v>
      </c>
      <c r="B50" s="1" t="s">
        <v>1386</v>
      </c>
      <c r="C50" s="1" t="s">
        <v>24</v>
      </c>
      <c r="D50" s="134" t="s">
        <v>83</v>
      </c>
      <c r="E50" s="135" t="s">
        <v>18</v>
      </c>
      <c r="F50" s="136" t="s">
        <v>23</v>
      </c>
      <c r="G50" s="135" t="s">
        <v>24</v>
      </c>
      <c r="H50" s="137">
        <v>124.91</v>
      </c>
      <c r="I50" s="137">
        <v>143.8963</v>
      </c>
      <c r="J50" s="129">
        <v>22914.53</v>
      </c>
      <c r="K50" s="129">
        <f>+J50*I50</f>
        <v>3297316.0832389998</v>
      </c>
      <c r="L50" s="129">
        <f>+I50*J50</f>
        <v>3297316.0832389998</v>
      </c>
      <c r="M50" s="129"/>
      <c r="N50" s="129"/>
      <c r="O50" s="129"/>
      <c r="P50" s="129"/>
    </row>
    <row r="51" spans="1:16" s="15" customFormat="1" x14ac:dyDescent="0.2">
      <c r="A51" s="1" t="s">
        <v>1385</v>
      </c>
      <c r="B51" s="1" t="s">
        <v>1386</v>
      </c>
      <c r="C51" s="1" t="s">
        <v>28</v>
      </c>
      <c r="D51" s="138" t="s">
        <v>84</v>
      </c>
      <c r="E51" s="139" t="s">
        <v>26</v>
      </c>
      <c r="F51" s="140" t="s">
        <v>27</v>
      </c>
      <c r="G51" s="139" t="s">
        <v>28</v>
      </c>
      <c r="H51" s="141">
        <v>9.9700000000000006</v>
      </c>
      <c r="I51" s="141">
        <v>11.4854</v>
      </c>
      <c r="J51" s="129">
        <v>1253</v>
      </c>
      <c r="K51" s="129">
        <f>+J51*I51</f>
        <v>14391.206200000001</v>
      </c>
      <c r="L51" s="129"/>
      <c r="M51" s="129">
        <f>+J51*I51</f>
        <v>14391.206200000001</v>
      </c>
      <c r="N51" s="129"/>
      <c r="O51" s="129"/>
      <c r="P51" s="129"/>
    </row>
    <row r="52" spans="1:16" s="15" customFormat="1" x14ac:dyDescent="0.2">
      <c r="A52" s="1" t="s">
        <v>1385</v>
      </c>
      <c r="B52" s="1" t="s">
        <v>1386</v>
      </c>
      <c r="C52" s="1" t="s">
        <v>28</v>
      </c>
      <c r="D52" s="138" t="s">
        <v>85</v>
      </c>
      <c r="E52" s="139" t="s">
        <v>30</v>
      </c>
      <c r="F52" s="140" t="s">
        <v>31</v>
      </c>
      <c r="G52" s="139" t="s">
        <v>28</v>
      </c>
      <c r="H52" s="141">
        <v>3.57</v>
      </c>
      <c r="I52" s="141">
        <v>4.1125999999999996</v>
      </c>
      <c r="J52" s="129">
        <v>106655</v>
      </c>
      <c r="K52" s="129">
        <f>+J52*I52</f>
        <v>438629.35299999994</v>
      </c>
      <c r="L52" s="129"/>
      <c r="M52" s="129">
        <f>+J52*I52</f>
        <v>438629.35299999994</v>
      </c>
      <c r="N52" s="129"/>
      <c r="O52" s="129"/>
      <c r="P52" s="129"/>
    </row>
    <row r="53" spans="1:16" s="16" customFormat="1" x14ac:dyDescent="0.2">
      <c r="A53" s="1" t="s">
        <v>1385</v>
      </c>
      <c r="B53" s="1" t="s">
        <v>1386</v>
      </c>
      <c r="C53" s="1" t="s">
        <v>1399</v>
      </c>
      <c r="D53" s="142" t="s">
        <v>86</v>
      </c>
      <c r="E53" s="143" t="s">
        <v>87</v>
      </c>
      <c r="F53" s="144" t="s">
        <v>88</v>
      </c>
      <c r="G53" s="143" t="s">
        <v>38</v>
      </c>
      <c r="H53" s="145">
        <v>100</v>
      </c>
      <c r="I53" s="146">
        <v>115.2</v>
      </c>
      <c r="J53" s="129">
        <v>650000</v>
      </c>
      <c r="K53" s="129">
        <f>+J53*I53</f>
        <v>74880000</v>
      </c>
      <c r="L53" s="129"/>
      <c r="M53" s="129"/>
      <c r="N53" s="129">
        <f>+I53*J53</f>
        <v>74880000</v>
      </c>
      <c r="O53" s="129"/>
      <c r="P53" s="129"/>
    </row>
    <row r="54" spans="1:16" s="16" customFormat="1" ht="36" x14ac:dyDescent="0.2">
      <c r="A54" s="1" t="s">
        <v>1385</v>
      </c>
      <c r="B54" s="1" t="s">
        <v>1386</v>
      </c>
      <c r="C54" s="1" t="s">
        <v>1399</v>
      </c>
      <c r="D54" s="142" t="s">
        <v>89</v>
      </c>
      <c r="E54" s="143" t="s">
        <v>40</v>
      </c>
      <c r="F54" s="144" t="s">
        <v>41</v>
      </c>
      <c r="G54" s="143" t="s">
        <v>42</v>
      </c>
      <c r="H54" s="146">
        <v>70.3</v>
      </c>
      <c r="I54" s="146">
        <v>80.985600000000005</v>
      </c>
      <c r="J54" s="129">
        <v>55000</v>
      </c>
      <c r="K54" s="129">
        <f>+J54*I54</f>
        <v>4454208</v>
      </c>
      <c r="L54" s="129"/>
      <c r="M54" s="129"/>
      <c r="N54" s="129">
        <f>+I54*J54</f>
        <v>4454208</v>
      </c>
      <c r="O54" s="129"/>
      <c r="P54" s="129"/>
    </row>
    <row r="55" spans="1:16" s="1" customFormat="1" ht="38.25" x14ac:dyDescent="0.2">
      <c r="A55" s="1" t="s">
        <v>1385</v>
      </c>
      <c r="B55" s="1" t="s">
        <v>1386</v>
      </c>
      <c r="C55" s="1" t="s">
        <v>1397</v>
      </c>
      <c r="D55" s="130" t="s">
        <v>90</v>
      </c>
      <c r="E55" s="131" t="s">
        <v>91</v>
      </c>
      <c r="F55" s="131" t="s">
        <v>92</v>
      </c>
      <c r="G55" s="132" t="s">
        <v>38</v>
      </c>
      <c r="H55" s="133">
        <v>85.65</v>
      </c>
      <c r="I55" s="133"/>
      <c r="J55" s="129"/>
      <c r="K55" s="129"/>
      <c r="L55" s="129"/>
      <c r="M55" s="129"/>
      <c r="N55" s="129"/>
      <c r="O55" s="129"/>
      <c r="P55" s="129"/>
    </row>
    <row r="56" spans="1:16" s="14" customFormat="1" x14ac:dyDescent="0.2">
      <c r="A56" s="1" t="s">
        <v>1385</v>
      </c>
      <c r="B56" s="1" t="s">
        <v>1386</v>
      </c>
      <c r="C56" s="1" t="s">
        <v>24</v>
      </c>
      <c r="D56" s="134" t="s">
        <v>93</v>
      </c>
      <c r="E56" s="135" t="s">
        <v>18</v>
      </c>
      <c r="F56" s="136" t="s">
        <v>23</v>
      </c>
      <c r="G56" s="135" t="s">
        <v>24</v>
      </c>
      <c r="H56" s="137">
        <v>4.47</v>
      </c>
      <c r="I56" s="137">
        <v>382.85550000000001</v>
      </c>
      <c r="J56" s="129">
        <v>22914.53</v>
      </c>
      <c r="K56" s="129">
        <f t="shared" ref="K56:K64" si="2">+J56*I56</f>
        <v>8772953.8404149991</v>
      </c>
      <c r="L56" s="129">
        <f>+I56*J56</f>
        <v>8772953.8404149991</v>
      </c>
      <c r="M56" s="129"/>
      <c r="N56" s="129"/>
      <c r="O56" s="129"/>
      <c r="P56" s="129"/>
    </row>
    <row r="57" spans="1:16" s="15" customFormat="1" x14ac:dyDescent="0.2">
      <c r="A57" s="1" t="s">
        <v>1385</v>
      </c>
      <c r="B57" s="1" t="s">
        <v>1386</v>
      </c>
      <c r="C57" s="1" t="s">
        <v>28</v>
      </c>
      <c r="D57" s="138" t="s">
        <v>94</v>
      </c>
      <c r="E57" s="139" t="s">
        <v>95</v>
      </c>
      <c r="F57" s="140" t="s">
        <v>96</v>
      </c>
      <c r="G57" s="139" t="s">
        <v>28</v>
      </c>
      <c r="H57" s="141">
        <v>0.12</v>
      </c>
      <c r="I57" s="141">
        <v>10.278</v>
      </c>
      <c r="J57" s="129">
        <v>1954</v>
      </c>
      <c r="K57" s="129">
        <f t="shared" si="2"/>
        <v>20083.212</v>
      </c>
      <c r="L57" s="129"/>
      <c r="M57" s="129">
        <f>+J57*I57</f>
        <v>20083.212</v>
      </c>
      <c r="N57" s="129"/>
      <c r="O57" s="129"/>
      <c r="P57" s="129"/>
    </row>
    <row r="58" spans="1:16" s="15" customFormat="1" x14ac:dyDescent="0.2">
      <c r="A58" s="1" t="s">
        <v>1385</v>
      </c>
      <c r="B58" s="1" t="s">
        <v>1386</v>
      </c>
      <c r="C58" s="1" t="s">
        <v>28</v>
      </c>
      <c r="D58" s="138" t="s">
        <v>97</v>
      </c>
      <c r="E58" s="139" t="s">
        <v>98</v>
      </c>
      <c r="F58" s="140" t="s">
        <v>99</v>
      </c>
      <c r="G58" s="139" t="s">
        <v>28</v>
      </c>
      <c r="H58" s="141">
        <v>0.28999999999999998</v>
      </c>
      <c r="I58" s="141">
        <v>24.8385</v>
      </c>
      <c r="J58" s="129">
        <v>6858</v>
      </c>
      <c r="K58" s="129">
        <f t="shared" si="2"/>
        <v>170342.43299999999</v>
      </c>
      <c r="L58" s="129"/>
      <c r="M58" s="129">
        <f>+J58*I58</f>
        <v>170342.43299999999</v>
      </c>
      <c r="N58" s="129"/>
      <c r="O58" s="129"/>
      <c r="P58" s="129"/>
    </row>
    <row r="59" spans="1:16" s="15" customFormat="1" x14ac:dyDescent="0.2">
      <c r="A59" s="1" t="s">
        <v>1385</v>
      </c>
      <c r="B59" s="1" t="s">
        <v>1386</v>
      </c>
      <c r="C59" s="1" t="s">
        <v>28</v>
      </c>
      <c r="D59" s="138" t="s">
        <v>100</v>
      </c>
      <c r="E59" s="139" t="s">
        <v>30</v>
      </c>
      <c r="F59" s="140" t="s">
        <v>31</v>
      </c>
      <c r="G59" s="139" t="s">
        <v>28</v>
      </c>
      <c r="H59" s="141">
        <v>0.15</v>
      </c>
      <c r="I59" s="141">
        <v>12.8475</v>
      </c>
      <c r="J59" s="129">
        <v>106655</v>
      </c>
      <c r="K59" s="129">
        <f t="shared" si="2"/>
        <v>1370250.1125</v>
      </c>
      <c r="L59" s="129"/>
      <c r="M59" s="129">
        <f>+J59*I59</f>
        <v>1370250.1125</v>
      </c>
      <c r="N59" s="129"/>
      <c r="O59" s="129"/>
      <c r="P59" s="129"/>
    </row>
    <row r="60" spans="1:16" s="15" customFormat="1" x14ac:dyDescent="0.2">
      <c r="A60" s="1" t="s">
        <v>1385</v>
      </c>
      <c r="B60" s="1" t="s">
        <v>1386</v>
      </c>
      <c r="C60" s="1" t="s">
        <v>28</v>
      </c>
      <c r="D60" s="138" t="s">
        <v>101</v>
      </c>
      <c r="E60" s="139" t="s">
        <v>102</v>
      </c>
      <c r="F60" s="140" t="s">
        <v>103</v>
      </c>
      <c r="G60" s="139" t="s">
        <v>28</v>
      </c>
      <c r="H60" s="141">
        <v>0.27</v>
      </c>
      <c r="I60" s="141">
        <v>23.125499999999999</v>
      </c>
      <c r="J60" s="129">
        <v>1399</v>
      </c>
      <c r="K60" s="129">
        <f t="shared" si="2"/>
        <v>32352.574499999999</v>
      </c>
      <c r="L60" s="129"/>
      <c r="M60" s="129">
        <f>+J60*I60</f>
        <v>32352.574499999999</v>
      </c>
      <c r="N60" s="129"/>
      <c r="O60" s="129"/>
      <c r="P60" s="129"/>
    </row>
    <row r="61" spans="1:16" s="16" customFormat="1" x14ac:dyDescent="0.2">
      <c r="A61" s="1" t="s">
        <v>1385</v>
      </c>
      <c r="B61" s="1" t="s">
        <v>1386</v>
      </c>
      <c r="C61" s="1" t="s">
        <v>1399</v>
      </c>
      <c r="D61" s="142" t="s">
        <v>104</v>
      </c>
      <c r="E61" s="143" t="s">
        <v>105</v>
      </c>
      <c r="F61" s="144" t="s">
        <v>106</v>
      </c>
      <c r="G61" s="143" t="s">
        <v>107</v>
      </c>
      <c r="H61" s="146">
        <v>1E-3</v>
      </c>
      <c r="I61" s="146">
        <v>8.5650000000000004E-2</v>
      </c>
      <c r="J61" s="129">
        <v>11250000</v>
      </c>
      <c r="K61" s="129">
        <f t="shared" si="2"/>
        <v>963562.5</v>
      </c>
      <c r="L61" s="129"/>
      <c r="M61" s="129"/>
      <c r="N61" s="129">
        <f>+I61*J61</f>
        <v>963562.5</v>
      </c>
      <c r="O61" s="129"/>
      <c r="P61" s="129"/>
    </row>
    <row r="62" spans="1:16" s="16" customFormat="1" x14ac:dyDescent="0.2">
      <c r="A62" s="1" t="s">
        <v>1385</v>
      </c>
      <c r="B62" s="1" t="s">
        <v>1386</v>
      </c>
      <c r="C62" s="1" t="s">
        <v>1399</v>
      </c>
      <c r="D62" s="142" t="s">
        <v>108</v>
      </c>
      <c r="E62" s="143" t="s">
        <v>109</v>
      </c>
      <c r="F62" s="144" t="s">
        <v>110</v>
      </c>
      <c r="G62" s="143" t="s">
        <v>107</v>
      </c>
      <c r="H62" s="146">
        <v>2.2000000000000001E-3</v>
      </c>
      <c r="I62" s="146">
        <v>0.18842999999999999</v>
      </c>
      <c r="J62" s="129">
        <v>9000000</v>
      </c>
      <c r="K62" s="129">
        <f t="shared" si="2"/>
        <v>1695869.9999999998</v>
      </c>
      <c r="L62" s="129"/>
      <c r="M62" s="129"/>
      <c r="N62" s="129">
        <f>+I62*J62</f>
        <v>1695869.9999999998</v>
      </c>
      <c r="O62" s="129"/>
      <c r="P62" s="129"/>
    </row>
    <row r="63" spans="1:16" s="16" customFormat="1" ht="36" x14ac:dyDescent="0.2">
      <c r="A63" s="1" t="s">
        <v>1385</v>
      </c>
      <c r="B63" s="1" t="s">
        <v>1386</v>
      </c>
      <c r="C63" s="1" t="s">
        <v>1399</v>
      </c>
      <c r="D63" s="142" t="s">
        <v>111</v>
      </c>
      <c r="E63" s="143" t="s">
        <v>40</v>
      </c>
      <c r="F63" s="144" t="s">
        <v>41</v>
      </c>
      <c r="G63" s="143" t="s">
        <v>42</v>
      </c>
      <c r="H63" s="146">
        <v>0.1</v>
      </c>
      <c r="I63" s="146">
        <v>8.5649999999999995</v>
      </c>
      <c r="J63" s="129">
        <v>55000</v>
      </c>
      <c r="K63" s="129">
        <f t="shared" si="2"/>
        <v>471075</v>
      </c>
      <c r="L63" s="129"/>
      <c r="M63" s="129"/>
      <c r="N63" s="129">
        <f>+I63*J63</f>
        <v>471075</v>
      </c>
      <c r="O63" s="129"/>
      <c r="P63" s="129"/>
    </row>
    <row r="64" spans="1:16" s="16" customFormat="1" x14ac:dyDescent="0.2">
      <c r="A64" s="1" t="s">
        <v>1385</v>
      </c>
      <c r="B64" s="1" t="s">
        <v>1386</v>
      </c>
      <c r="C64" s="1" t="s">
        <v>1399</v>
      </c>
      <c r="D64" s="142" t="s">
        <v>112</v>
      </c>
      <c r="E64" s="143" t="s">
        <v>113</v>
      </c>
      <c r="F64" s="144" t="s">
        <v>114</v>
      </c>
      <c r="G64" s="143" t="s">
        <v>38</v>
      </c>
      <c r="H64" s="145">
        <v>1</v>
      </c>
      <c r="I64" s="146">
        <v>85.65</v>
      </c>
      <c r="J64" s="129">
        <v>650000</v>
      </c>
      <c r="K64" s="129">
        <f t="shared" si="2"/>
        <v>55672500</v>
      </c>
      <c r="L64" s="129"/>
      <c r="M64" s="129"/>
      <c r="N64" s="129">
        <f>+I64*J64</f>
        <v>55672500</v>
      </c>
      <c r="O64" s="129"/>
      <c r="P64" s="129"/>
    </row>
    <row r="65" spans="1:16" s="1" customFormat="1" ht="38.25" x14ac:dyDescent="0.2">
      <c r="A65" s="1" t="s">
        <v>1385</v>
      </c>
      <c r="B65" s="1" t="s">
        <v>1386</v>
      </c>
      <c r="C65" s="1" t="s">
        <v>1397</v>
      </c>
      <c r="D65" s="130" t="s">
        <v>115</v>
      </c>
      <c r="E65" s="131" t="s">
        <v>116</v>
      </c>
      <c r="F65" s="131" t="s">
        <v>117</v>
      </c>
      <c r="G65" s="132" t="s">
        <v>21</v>
      </c>
      <c r="H65" s="133">
        <v>2.5137</v>
      </c>
      <c r="I65" s="133"/>
      <c r="J65" s="129"/>
      <c r="K65" s="129"/>
      <c r="L65" s="129"/>
      <c r="M65" s="129"/>
      <c r="N65" s="129"/>
      <c r="O65" s="129"/>
      <c r="P65" s="129"/>
    </row>
    <row r="66" spans="1:16" s="14" customFormat="1" x14ac:dyDescent="0.2">
      <c r="A66" s="1" t="s">
        <v>1385</v>
      </c>
      <c r="B66" s="1" t="s">
        <v>1386</v>
      </c>
      <c r="C66" s="1" t="s">
        <v>24</v>
      </c>
      <c r="D66" s="134" t="s">
        <v>118</v>
      </c>
      <c r="E66" s="135" t="s">
        <v>18</v>
      </c>
      <c r="F66" s="136" t="s">
        <v>23</v>
      </c>
      <c r="G66" s="135" t="s">
        <v>24</v>
      </c>
      <c r="H66" s="147">
        <v>115</v>
      </c>
      <c r="I66" s="137">
        <v>289.07549999999998</v>
      </c>
      <c r="J66" s="129">
        <v>22914.53</v>
      </c>
      <c r="K66" s="129">
        <f>+J66*I66</f>
        <v>6624029.2170149991</v>
      </c>
      <c r="L66" s="129">
        <f>+I66*J66</f>
        <v>6624029.2170149991</v>
      </c>
      <c r="M66" s="129"/>
      <c r="N66" s="129"/>
      <c r="O66" s="129"/>
      <c r="P66" s="129"/>
    </row>
    <row r="67" spans="1:16" s="15" customFormat="1" x14ac:dyDescent="0.2">
      <c r="A67" s="1" t="s">
        <v>1385</v>
      </c>
      <c r="B67" s="1" t="s">
        <v>1386</v>
      </c>
      <c r="C67" s="1" t="s">
        <v>28</v>
      </c>
      <c r="D67" s="138" t="s">
        <v>119</v>
      </c>
      <c r="E67" s="139" t="s">
        <v>30</v>
      </c>
      <c r="F67" s="140" t="s">
        <v>31</v>
      </c>
      <c r="G67" s="139" t="s">
        <v>28</v>
      </c>
      <c r="H67" s="141">
        <v>3.9</v>
      </c>
      <c r="I67" s="141">
        <v>9.8033999999999999</v>
      </c>
      <c r="J67" s="129">
        <v>106655</v>
      </c>
      <c r="K67" s="129">
        <f>+J67*I67</f>
        <v>1045581.627</v>
      </c>
      <c r="L67" s="129"/>
      <c r="M67" s="129">
        <f>+J67*I67</f>
        <v>1045581.627</v>
      </c>
      <c r="N67" s="129"/>
      <c r="O67" s="129"/>
      <c r="P67" s="129"/>
    </row>
    <row r="68" spans="1:16" s="16" customFormat="1" x14ac:dyDescent="0.2">
      <c r="A68" s="1" t="s">
        <v>1385</v>
      </c>
      <c r="B68" s="1" t="s">
        <v>1386</v>
      </c>
      <c r="C68" s="1" t="s">
        <v>1399</v>
      </c>
      <c r="D68" s="142" t="s">
        <v>120</v>
      </c>
      <c r="E68" s="143" t="s">
        <v>121</v>
      </c>
      <c r="F68" s="144" t="s">
        <v>122</v>
      </c>
      <c r="G68" s="143" t="s">
        <v>38</v>
      </c>
      <c r="H68" s="145">
        <v>100</v>
      </c>
      <c r="I68" s="146">
        <v>251.37</v>
      </c>
      <c r="J68" s="129">
        <v>550000</v>
      </c>
      <c r="K68" s="129">
        <f>+J68*I68</f>
        <v>138253500</v>
      </c>
      <c r="L68" s="129"/>
      <c r="M68" s="129"/>
      <c r="N68" s="129">
        <f>+I68*J68</f>
        <v>138253500</v>
      </c>
      <c r="O68" s="129"/>
      <c r="P68" s="129"/>
    </row>
    <row r="69" spans="1:16" s="16" customFormat="1" x14ac:dyDescent="0.2">
      <c r="A69" s="1" t="s">
        <v>1385</v>
      </c>
      <c r="B69" s="1" t="s">
        <v>1386</v>
      </c>
      <c r="C69" s="1" t="s">
        <v>1399</v>
      </c>
      <c r="D69" s="142" t="s">
        <v>123</v>
      </c>
      <c r="E69" s="143" t="s">
        <v>124</v>
      </c>
      <c r="F69" s="144" t="s">
        <v>125</v>
      </c>
      <c r="G69" s="143" t="s">
        <v>107</v>
      </c>
      <c r="H69" s="146">
        <v>1.0120000000000001E-2</v>
      </c>
      <c r="I69" s="146">
        <v>2.5439E-2</v>
      </c>
      <c r="J69" s="129">
        <v>9500000</v>
      </c>
      <c r="K69" s="129">
        <f>+J69*I69</f>
        <v>241670.5</v>
      </c>
      <c r="L69" s="129"/>
      <c r="M69" s="129"/>
      <c r="N69" s="129">
        <f>+I69*J69</f>
        <v>241670.5</v>
      </c>
      <c r="O69" s="129"/>
      <c r="P69" s="129"/>
    </row>
    <row r="70" spans="1:16" s="16" customFormat="1" x14ac:dyDescent="0.2">
      <c r="A70" s="1" t="s">
        <v>1385</v>
      </c>
      <c r="B70" s="1" t="s">
        <v>1386</v>
      </c>
      <c r="C70" s="1" t="s">
        <v>1399</v>
      </c>
      <c r="D70" s="142" t="s">
        <v>126</v>
      </c>
      <c r="E70" s="143" t="s">
        <v>127</v>
      </c>
      <c r="F70" s="144" t="s">
        <v>128</v>
      </c>
      <c r="G70" s="143" t="s">
        <v>69</v>
      </c>
      <c r="H70" s="145">
        <v>540</v>
      </c>
      <c r="I70" s="146">
        <v>1357.3979999999999</v>
      </c>
      <c r="J70" s="129">
        <v>14000</v>
      </c>
      <c r="K70" s="129">
        <f>+J70*I70</f>
        <v>19003572</v>
      </c>
      <c r="L70" s="129"/>
      <c r="M70" s="129"/>
      <c r="N70" s="129">
        <f>+I70*J70</f>
        <v>19003572</v>
      </c>
      <c r="O70" s="129"/>
      <c r="P70" s="129"/>
    </row>
    <row r="71" spans="1:16" s="1" customFormat="1" ht="25.5" x14ac:dyDescent="0.2">
      <c r="A71" s="1" t="s">
        <v>1385</v>
      </c>
      <c r="B71" s="1" t="s">
        <v>1386</v>
      </c>
      <c r="C71" s="1" t="s">
        <v>1397</v>
      </c>
      <c r="D71" s="130" t="s">
        <v>129</v>
      </c>
      <c r="E71" s="131" t="s">
        <v>130</v>
      </c>
      <c r="F71" s="131" t="s">
        <v>131</v>
      </c>
      <c r="G71" s="132" t="s">
        <v>132</v>
      </c>
      <c r="H71" s="133">
        <v>1.17</v>
      </c>
      <c r="I71" s="133"/>
      <c r="J71" s="129"/>
      <c r="K71" s="129"/>
      <c r="L71" s="129"/>
      <c r="M71" s="129"/>
      <c r="N71" s="129"/>
      <c r="O71" s="129"/>
      <c r="P71" s="129"/>
    </row>
    <row r="72" spans="1:16" s="14" customFormat="1" x14ac:dyDescent="0.2">
      <c r="A72" s="1" t="s">
        <v>1385</v>
      </c>
      <c r="B72" s="1" t="s">
        <v>1386</v>
      </c>
      <c r="C72" s="1" t="s">
        <v>24</v>
      </c>
      <c r="D72" s="134" t="s">
        <v>133</v>
      </c>
      <c r="E72" s="135" t="s">
        <v>18</v>
      </c>
      <c r="F72" s="136" t="s">
        <v>23</v>
      </c>
      <c r="G72" s="135" t="s">
        <v>24</v>
      </c>
      <c r="H72" s="137">
        <v>114.6</v>
      </c>
      <c r="I72" s="137">
        <v>134.08199999999999</v>
      </c>
      <c r="J72" s="129">
        <v>22914.53</v>
      </c>
      <c r="K72" s="129">
        <f>+J72*I72</f>
        <v>3072426.0114599997</v>
      </c>
      <c r="L72" s="129">
        <f>+I72*J72</f>
        <v>3072426.0114599997</v>
      </c>
      <c r="M72" s="129"/>
      <c r="N72" s="129"/>
      <c r="O72" s="129"/>
      <c r="P72" s="129"/>
    </row>
    <row r="73" spans="1:16" s="15" customFormat="1" x14ac:dyDescent="0.2">
      <c r="A73" s="1" t="s">
        <v>1385</v>
      </c>
      <c r="B73" s="1" t="s">
        <v>1386</v>
      </c>
      <c r="C73" s="1" t="s">
        <v>28</v>
      </c>
      <c r="D73" s="138" t="s">
        <v>134</v>
      </c>
      <c r="E73" s="139" t="s">
        <v>26</v>
      </c>
      <c r="F73" s="140" t="s">
        <v>27</v>
      </c>
      <c r="G73" s="139" t="s">
        <v>28</v>
      </c>
      <c r="H73" s="141">
        <v>7.2</v>
      </c>
      <c r="I73" s="141">
        <v>8.4239999999999995</v>
      </c>
      <c r="J73" s="129">
        <v>1253</v>
      </c>
      <c r="K73" s="129">
        <f>+J73*I73</f>
        <v>10555.271999999999</v>
      </c>
      <c r="L73" s="129"/>
      <c r="M73" s="129">
        <f>+J73*I73</f>
        <v>10555.271999999999</v>
      </c>
      <c r="N73" s="129"/>
      <c r="O73" s="129"/>
      <c r="P73" s="129"/>
    </row>
    <row r="74" spans="1:16" s="15" customFormat="1" x14ac:dyDescent="0.2">
      <c r="A74" s="1" t="s">
        <v>1385</v>
      </c>
      <c r="B74" s="1" t="s">
        <v>1386</v>
      </c>
      <c r="C74" s="1" t="s">
        <v>28</v>
      </c>
      <c r="D74" s="138" t="s">
        <v>135</v>
      </c>
      <c r="E74" s="139" t="s">
        <v>30</v>
      </c>
      <c r="F74" s="140" t="s">
        <v>31</v>
      </c>
      <c r="G74" s="139" t="s">
        <v>28</v>
      </c>
      <c r="H74" s="141">
        <v>0.16</v>
      </c>
      <c r="I74" s="141">
        <v>0.18720000000000001</v>
      </c>
      <c r="J74" s="129">
        <v>106655</v>
      </c>
      <c r="K74" s="129">
        <f>+J74*I74</f>
        <v>19965.815999999999</v>
      </c>
      <c r="L74" s="129"/>
      <c r="M74" s="129">
        <f>+J74*I74</f>
        <v>19965.815999999999</v>
      </c>
      <c r="N74" s="129"/>
      <c r="O74" s="129"/>
      <c r="P74" s="129"/>
    </row>
    <row r="75" spans="1:16" s="16" customFormat="1" x14ac:dyDescent="0.2">
      <c r="A75" s="1" t="s">
        <v>1385</v>
      </c>
      <c r="B75" s="1" t="s">
        <v>1386</v>
      </c>
      <c r="C75" s="1" t="s">
        <v>1399</v>
      </c>
      <c r="D75" s="142" t="s">
        <v>136</v>
      </c>
      <c r="E75" s="143" t="s">
        <v>137</v>
      </c>
      <c r="F75" s="144" t="s">
        <v>138</v>
      </c>
      <c r="G75" s="143" t="s">
        <v>139</v>
      </c>
      <c r="H75" s="145">
        <v>100</v>
      </c>
      <c r="I75" s="145">
        <v>117</v>
      </c>
      <c r="J75" s="129">
        <v>95000</v>
      </c>
      <c r="K75" s="129">
        <f>+J75*I75</f>
        <v>11115000</v>
      </c>
      <c r="L75" s="129"/>
      <c r="M75" s="129"/>
      <c r="N75" s="129">
        <f>+I75*J75</f>
        <v>11115000</v>
      </c>
      <c r="O75" s="129"/>
      <c r="P75" s="129"/>
    </row>
    <row r="76" spans="1:16" s="1" customFormat="1" x14ac:dyDescent="0.2">
      <c r="A76" s="1" t="s">
        <v>1385</v>
      </c>
      <c r="B76" s="1" t="s">
        <v>1386</v>
      </c>
      <c r="C76" s="1" t="s">
        <v>1397</v>
      </c>
      <c r="D76" s="130" t="s">
        <v>140</v>
      </c>
      <c r="E76" s="131" t="s">
        <v>141</v>
      </c>
      <c r="F76" s="131" t="s">
        <v>142</v>
      </c>
      <c r="G76" s="132" t="s">
        <v>21</v>
      </c>
      <c r="H76" s="133">
        <v>9.8799999999999999E-2</v>
      </c>
      <c r="I76" s="133"/>
      <c r="J76" s="129"/>
      <c r="K76" s="129"/>
      <c r="L76" s="129"/>
      <c r="M76" s="129"/>
      <c r="N76" s="129"/>
      <c r="O76" s="129"/>
      <c r="P76" s="129"/>
    </row>
    <row r="77" spans="1:16" s="14" customFormat="1" x14ac:dyDescent="0.2">
      <c r="A77" s="1" t="s">
        <v>1385</v>
      </c>
      <c r="B77" s="1" t="s">
        <v>1386</v>
      </c>
      <c r="C77" s="1" t="s">
        <v>24</v>
      </c>
      <c r="D77" s="134" t="s">
        <v>143</v>
      </c>
      <c r="E77" s="135" t="s">
        <v>18</v>
      </c>
      <c r="F77" s="136" t="s">
        <v>23</v>
      </c>
      <c r="G77" s="135" t="s">
        <v>24</v>
      </c>
      <c r="H77" s="137">
        <v>142.68</v>
      </c>
      <c r="I77" s="137">
        <v>14.0968</v>
      </c>
      <c r="J77" s="129">
        <v>22914.53</v>
      </c>
      <c r="K77" s="129">
        <f>+J77*I77</f>
        <v>323021.54650399997</v>
      </c>
      <c r="L77" s="129">
        <f>+I77*J77</f>
        <v>323021.54650399997</v>
      </c>
      <c r="M77" s="129"/>
      <c r="N77" s="129"/>
      <c r="O77" s="129"/>
      <c r="P77" s="129"/>
    </row>
    <row r="78" spans="1:16" s="15" customFormat="1" x14ac:dyDescent="0.2">
      <c r="A78" s="1" t="s">
        <v>1385</v>
      </c>
      <c r="B78" s="1" t="s">
        <v>1386</v>
      </c>
      <c r="C78" s="1" t="s">
        <v>28</v>
      </c>
      <c r="D78" s="138" t="s">
        <v>144</v>
      </c>
      <c r="E78" s="139" t="s">
        <v>26</v>
      </c>
      <c r="F78" s="140" t="s">
        <v>27</v>
      </c>
      <c r="G78" s="139" t="s">
        <v>28</v>
      </c>
      <c r="H78" s="141">
        <v>2.5299999999999998</v>
      </c>
      <c r="I78" s="141">
        <v>0.24996399999999999</v>
      </c>
      <c r="J78" s="129">
        <v>1253</v>
      </c>
      <c r="K78" s="129">
        <f>+J78*I78</f>
        <v>313.20489199999997</v>
      </c>
      <c r="L78" s="129"/>
      <c r="M78" s="129">
        <f>+J78*I78</f>
        <v>313.20489199999997</v>
      </c>
      <c r="N78" s="129"/>
      <c r="O78" s="129"/>
      <c r="P78" s="129"/>
    </row>
    <row r="79" spans="1:16" s="15" customFormat="1" x14ac:dyDescent="0.2">
      <c r="A79" s="1" t="s">
        <v>1385</v>
      </c>
      <c r="B79" s="1" t="s">
        <v>1386</v>
      </c>
      <c r="C79" s="1" t="s">
        <v>28</v>
      </c>
      <c r="D79" s="138" t="s">
        <v>145</v>
      </c>
      <c r="E79" s="139" t="s">
        <v>30</v>
      </c>
      <c r="F79" s="140" t="s">
        <v>31</v>
      </c>
      <c r="G79" s="139" t="s">
        <v>28</v>
      </c>
      <c r="H79" s="141">
        <v>1.84</v>
      </c>
      <c r="I79" s="141">
        <v>0.18179200000000001</v>
      </c>
      <c r="J79" s="129">
        <v>106655</v>
      </c>
      <c r="K79" s="129">
        <f>+J79*I79</f>
        <v>19389.02576</v>
      </c>
      <c r="L79" s="129"/>
      <c r="M79" s="129">
        <f>+J79*I79</f>
        <v>19389.02576</v>
      </c>
      <c r="N79" s="129"/>
      <c r="O79" s="129"/>
      <c r="P79" s="129"/>
    </row>
    <row r="80" spans="1:16" s="16" customFormat="1" x14ac:dyDescent="0.2">
      <c r="A80" s="1" t="s">
        <v>1385</v>
      </c>
      <c r="B80" s="1" t="s">
        <v>1386</v>
      </c>
      <c r="C80" s="1" t="s">
        <v>1399</v>
      </c>
      <c r="D80" s="142" t="s">
        <v>146</v>
      </c>
      <c r="E80" s="143" t="s">
        <v>147</v>
      </c>
      <c r="F80" s="144" t="s">
        <v>148</v>
      </c>
      <c r="G80" s="143" t="s">
        <v>38</v>
      </c>
      <c r="H80" s="145">
        <v>100</v>
      </c>
      <c r="I80" s="146">
        <v>9.8800000000000008</v>
      </c>
      <c r="J80" s="129">
        <v>150000</v>
      </c>
      <c r="K80" s="129">
        <f>+J80*I80</f>
        <v>1482000.0000000002</v>
      </c>
      <c r="L80" s="129"/>
      <c r="M80" s="129"/>
      <c r="N80" s="129">
        <f>+I80*J80</f>
        <v>1482000.0000000002</v>
      </c>
      <c r="O80" s="129"/>
      <c r="P80" s="129"/>
    </row>
    <row r="81" spans="1:16" s="1" customFormat="1" ht="38.25" x14ac:dyDescent="0.2">
      <c r="A81" s="1" t="s">
        <v>1385</v>
      </c>
      <c r="B81" s="1" t="s">
        <v>1386</v>
      </c>
      <c r="C81" s="1" t="s">
        <v>1397</v>
      </c>
      <c r="D81" s="130" t="s">
        <v>149</v>
      </c>
      <c r="E81" s="131" t="s">
        <v>150</v>
      </c>
      <c r="F81" s="131" t="s">
        <v>151</v>
      </c>
      <c r="G81" s="132" t="s">
        <v>21</v>
      </c>
      <c r="H81" s="133">
        <v>0.14760000000000001</v>
      </c>
      <c r="I81" s="133"/>
      <c r="J81" s="129"/>
      <c r="K81" s="129"/>
      <c r="L81" s="129"/>
      <c r="M81" s="129"/>
      <c r="N81" s="129"/>
      <c r="O81" s="129"/>
      <c r="P81" s="129"/>
    </row>
    <row r="82" spans="1:16" s="14" customFormat="1" x14ac:dyDescent="0.2">
      <c r="A82" s="1" t="s">
        <v>1385</v>
      </c>
      <c r="B82" s="1" t="s">
        <v>1386</v>
      </c>
      <c r="C82" s="1" t="s">
        <v>24</v>
      </c>
      <c r="D82" s="134" t="s">
        <v>152</v>
      </c>
      <c r="E82" s="135" t="s">
        <v>18</v>
      </c>
      <c r="F82" s="136" t="s">
        <v>23</v>
      </c>
      <c r="G82" s="135" t="s">
        <v>24</v>
      </c>
      <c r="H82" s="137">
        <v>4.9000000000000004</v>
      </c>
      <c r="I82" s="137">
        <v>0.72323999999999999</v>
      </c>
      <c r="J82" s="129">
        <v>22914.53</v>
      </c>
      <c r="K82" s="129">
        <f>+J82*I82</f>
        <v>16572.704677199999</v>
      </c>
      <c r="L82" s="129">
        <f>+I82*J82</f>
        <v>16572.704677199999</v>
      </c>
      <c r="M82" s="129"/>
      <c r="N82" s="129"/>
      <c r="O82" s="129"/>
      <c r="P82" s="129"/>
    </row>
    <row r="83" spans="1:16" s="15" customFormat="1" x14ac:dyDescent="0.2">
      <c r="A83" s="1" t="s">
        <v>1385</v>
      </c>
      <c r="B83" s="1" t="s">
        <v>1386</v>
      </c>
      <c r="C83" s="1" t="s">
        <v>28</v>
      </c>
      <c r="D83" s="138" t="s">
        <v>153</v>
      </c>
      <c r="E83" s="139" t="s">
        <v>30</v>
      </c>
      <c r="F83" s="140" t="s">
        <v>31</v>
      </c>
      <c r="G83" s="139" t="s">
        <v>28</v>
      </c>
      <c r="H83" s="141">
        <v>0.01</v>
      </c>
      <c r="I83" s="141">
        <v>1.4760000000000001E-3</v>
      </c>
      <c r="J83" s="129">
        <v>106655</v>
      </c>
      <c r="K83" s="129">
        <f>+J83*I83</f>
        <v>157.42278000000002</v>
      </c>
      <c r="L83" s="129"/>
      <c r="M83" s="129">
        <f>+J83*I83</f>
        <v>157.42278000000002</v>
      </c>
      <c r="N83" s="129"/>
      <c r="O83" s="129"/>
      <c r="P83" s="129"/>
    </row>
    <row r="84" spans="1:16" s="16" customFormat="1" x14ac:dyDescent="0.2">
      <c r="A84" s="1" t="s">
        <v>1385</v>
      </c>
      <c r="B84" s="1" t="s">
        <v>1386</v>
      </c>
      <c r="C84" s="1" t="s">
        <v>1399</v>
      </c>
      <c r="D84" s="142" t="s">
        <v>154</v>
      </c>
      <c r="E84" s="143" t="s">
        <v>155</v>
      </c>
      <c r="F84" s="144" t="s">
        <v>156</v>
      </c>
      <c r="G84" s="143" t="s">
        <v>107</v>
      </c>
      <c r="H84" s="146">
        <v>1.4E-3</v>
      </c>
      <c r="I84" s="146">
        <v>2.0699999999999999E-4</v>
      </c>
      <c r="J84" s="129">
        <v>9500000</v>
      </c>
      <c r="K84" s="129">
        <f>+J84*I84</f>
        <v>1966.5</v>
      </c>
      <c r="L84" s="129"/>
      <c r="M84" s="129"/>
      <c r="N84" s="129">
        <f>+I84*J84</f>
        <v>1966.5</v>
      </c>
      <c r="O84" s="129"/>
      <c r="P84" s="129"/>
    </row>
    <row r="85" spans="1:16" s="16" customFormat="1" x14ac:dyDescent="0.2">
      <c r="A85" s="1" t="s">
        <v>1385</v>
      </c>
      <c r="B85" s="1" t="s">
        <v>1386</v>
      </c>
      <c r="C85" s="1" t="s">
        <v>1399</v>
      </c>
      <c r="D85" s="142" t="s">
        <v>157</v>
      </c>
      <c r="E85" s="143" t="s">
        <v>158</v>
      </c>
      <c r="F85" s="144" t="s">
        <v>159</v>
      </c>
      <c r="G85" s="143" t="s">
        <v>107</v>
      </c>
      <c r="H85" s="146">
        <v>2.3E-2</v>
      </c>
      <c r="I85" s="146">
        <v>3.395E-3</v>
      </c>
      <c r="J85" s="129">
        <v>14821500</v>
      </c>
      <c r="K85" s="129">
        <f>+J85*I85</f>
        <v>50318.9925</v>
      </c>
      <c r="L85" s="129"/>
      <c r="M85" s="129"/>
      <c r="N85" s="129">
        <f>+I85*J85</f>
        <v>50318.9925</v>
      </c>
      <c r="O85" s="129"/>
      <c r="P85" s="129"/>
    </row>
    <row r="86" spans="1:16" ht="15.75" x14ac:dyDescent="0.25">
      <c r="A86" s="1" t="s">
        <v>1385</v>
      </c>
      <c r="B86" s="1" t="s">
        <v>1386</v>
      </c>
      <c r="C86" s="1"/>
      <c r="D86" s="127" t="s">
        <v>160</v>
      </c>
      <c r="E86" s="128"/>
      <c r="F86" s="128"/>
      <c r="G86" s="128"/>
      <c r="H86" s="128"/>
      <c r="I86" s="128"/>
      <c r="J86" s="129"/>
      <c r="K86" s="129"/>
      <c r="L86" s="129"/>
      <c r="M86" s="129"/>
      <c r="N86" s="129"/>
      <c r="O86" s="129"/>
      <c r="P86" s="129"/>
    </row>
    <row r="87" spans="1:16" s="1" customFormat="1" ht="17.25" customHeight="1" x14ac:dyDescent="0.2">
      <c r="A87" s="1" t="s">
        <v>1385</v>
      </c>
      <c r="B87" s="1" t="s">
        <v>1386</v>
      </c>
      <c r="C87" s="1" t="s">
        <v>1397</v>
      </c>
      <c r="D87" s="130" t="s">
        <v>161</v>
      </c>
      <c r="E87" s="131" t="s">
        <v>162</v>
      </c>
      <c r="F87" s="131" t="s">
        <v>163</v>
      </c>
      <c r="G87" s="132" t="s">
        <v>21</v>
      </c>
      <c r="H87" s="133">
        <v>3.125E-2</v>
      </c>
      <c r="I87" s="133"/>
      <c r="J87" s="129"/>
      <c r="K87" s="129"/>
      <c r="L87" s="129"/>
      <c r="M87" s="129"/>
      <c r="N87" s="129"/>
      <c r="O87" s="129"/>
      <c r="P87" s="129"/>
    </row>
    <row r="88" spans="1:16" s="14" customFormat="1" x14ac:dyDescent="0.2">
      <c r="A88" s="1" t="s">
        <v>1385</v>
      </c>
      <c r="B88" s="1" t="s">
        <v>1386</v>
      </c>
      <c r="C88" s="1" t="s">
        <v>24</v>
      </c>
      <c r="D88" s="134" t="s">
        <v>164</v>
      </c>
      <c r="E88" s="135" t="s">
        <v>18</v>
      </c>
      <c r="F88" s="136" t="s">
        <v>23</v>
      </c>
      <c r="G88" s="135" t="s">
        <v>24</v>
      </c>
      <c r="H88" s="137">
        <v>52.1</v>
      </c>
      <c r="I88" s="137">
        <v>1.6281000000000001</v>
      </c>
      <c r="J88" s="129">
        <v>22914.53</v>
      </c>
      <c r="K88" s="129">
        <f>+J88*I88</f>
        <v>37307.146292999998</v>
      </c>
      <c r="L88" s="129">
        <f>+I88*J88</f>
        <v>37307.146292999998</v>
      </c>
      <c r="M88" s="129"/>
      <c r="N88" s="129"/>
      <c r="O88" s="129"/>
      <c r="P88" s="129"/>
    </row>
    <row r="89" spans="1:16" s="15" customFormat="1" x14ac:dyDescent="0.2">
      <c r="A89" s="1" t="s">
        <v>1385</v>
      </c>
      <c r="B89" s="1" t="s">
        <v>1386</v>
      </c>
      <c r="C89" s="1" t="s">
        <v>28</v>
      </c>
      <c r="D89" s="138" t="s">
        <v>165</v>
      </c>
      <c r="E89" s="139" t="s">
        <v>30</v>
      </c>
      <c r="F89" s="140" t="s">
        <v>31</v>
      </c>
      <c r="G89" s="139" t="s">
        <v>28</v>
      </c>
      <c r="H89" s="141">
        <v>0.2</v>
      </c>
      <c r="I89" s="141">
        <v>6.2500000000000003E-3</v>
      </c>
      <c r="J89" s="129">
        <v>106655</v>
      </c>
      <c r="K89" s="129">
        <f>+J89*I89</f>
        <v>666.59375</v>
      </c>
      <c r="L89" s="129"/>
      <c r="M89" s="129">
        <f>+J89*I89</f>
        <v>666.59375</v>
      </c>
      <c r="N89" s="129"/>
      <c r="O89" s="129"/>
      <c r="P89" s="129"/>
    </row>
    <row r="90" spans="1:16" s="16" customFormat="1" ht="36" x14ac:dyDescent="0.2">
      <c r="A90" s="1" t="s">
        <v>1385</v>
      </c>
      <c r="B90" s="1" t="s">
        <v>1386</v>
      </c>
      <c r="C90" s="1" t="s">
        <v>1399</v>
      </c>
      <c r="D90" s="142" t="s">
        <v>166</v>
      </c>
      <c r="E90" s="143" t="s">
        <v>167</v>
      </c>
      <c r="F90" s="144" t="s">
        <v>168</v>
      </c>
      <c r="G90" s="143" t="s">
        <v>107</v>
      </c>
      <c r="H90" s="146">
        <v>2.5999999999999999E-2</v>
      </c>
      <c r="I90" s="146">
        <v>8.1300000000000003E-4</v>
      </c>
      <c r="J90" s="129">
        <v>8900000</v>
      </c>
      <c r="K90" s="129">
        <f>+J90*I90</f>
        <v>7235.7</v>
      </c>
      <c r="L90" s="129"/>
      <c r="M90" s="129"/>
      <c r="N90" s="129">
        <f>+I90*J90</f>
        <v>7235.7</v>
      </c>
      <c r="O90" s="129"/>
      <c r="P90" s="129"/>
    </row>
    <row r="91" spans="1:16" s="1" customFormat="1" x14ac:dyDescent="0.2">
      <c r="A91" s="1" t="s">
        <v>1385</v>
      </c>
      <c r="B91" s="1" t="s">
        <v>1386</v>
      </c>
      <c r="C91" s="1" t="s">
        <v>1399</v>
      </c>
      <c r="D91" s="130" t="s">
        <v>169</v>
      </c>
      <c r="E91" s="131" t="s">
        <v>170</v>
      </c>
      <c r="F91" s="131" t="s">
        <v>171</v>
      </c>
      <c r="G91" s="132" t="s">
        <v>107</v>
      </c>
      <c r="H91" s="133">
        <v>4.3749999999999997E-2</v>
      </c>
      <c r="I91" s="133">
        <f>+H91</f>
        <v>4.3749999999999997E-2</v>
      </c>
      <c r="J91" s="129">
        <v>9000000</v>
      </c>
      <c r="K91" s="129">
        <f>+J91*I91</f>
        <v>393750</v>
      </c>
      <c r="L91" s="129"/>
      <c r="M91" s="129"/>
      <c r="N91" s="129">
        <f>+J91*I91</f>
        <v>393750</v>
      </c>
      <c r="O91" s="129"/>
      <c r="P91" s="129"/>
    </row>
    <row r="92" spans="1:16" s="1" customFormat="1" x14ac:dyDescent="0.2">
      <c r="A92" s="1" t="s">
        <v>1385</v>
      </c>
      <c r="B92" s="1" t="s">
        <v>1386</v>
      </c>
      <c r="C92" s="1" t="s">
        <v>1399</v>
      </c>
      <c r="D92" s="130" t="s">
        <v>172</v>
      </c>
      <c r="E92" s="131" t="s">
        <v>173</v>
      </c>
      <c r="F92" s="131" t="s">
        <v>174</v>
      </c>
      <c r="G92" s="132" t="s">
        <v>38</v>
      </c>
      <c r="H92" s="148">
        <v>3</v>
      </c>
      <c r="I92" s="133">
        <f>+H92</f>
        <v>3</v>
      </c>
      <c r="J92" s="129">
        <v>9500</v>
      </c>
      <c r="K92" s="129">
        <f>+J92*I92</f>
        <v>28500</v>
      </c>
      <c r="L92" s="129"/>
      <c r="M92" s="129"/>
      <c r="N92" s="129">
        <f>+J92*I92</f>
        <v>28500</v>
      </c>
      <c r="O92" s="129"/>
      <c r="P92" s="129"/>
    </row>
    <row r="93" spans="1:16" ht="15.75" x14ac:dyDescent="0.25">
      <c r="A93" s="1" t="s">
        <v>1385</v>
      </c>
      <c r="B93" s="1" t="s">
        <v>1386</v>
      </c>
      <c r="C93" s="1"/>
      <c r="D93" s="127" t="s">
        <v>175</v>
      </c>
      <c r="E93" s="128"/>
      <c r="F93" s="128"/>
      <c r="G93" s="128"/>
      <c r="H93" s="128"/>
      <c r="I93" s="128"/>
      <c r="J93" s="129"/>
      <c r="K93" s="129"/>
      <c r="L93" s="129"/>
      <c r="M93" s="129"/>
      <c r="N93" s="129"/>
      <c r="O93" s="129"/>
      <c r="P93" s="129"/>
    </row>
    <row r="94" spans="1:16" s="1" customFormat="1" ht="76.5" x14ac:dyDescent="0.2">
      <c r="A94" s="1" t="s">
        <v>1385</v>
      </c>
      <c r="B94" s="1" t="s">
        <v>1386</v>
      </c>
      <c r="C94" s="1" t="s">
        <v>1397</v>
      </c>
      <c r="D94" s="130" t="s">
        <v>176</v>
      </c>
      <c r="E94" s="131" t="s">
        <v>177</v>
      </c>
      <c r="F94" s="131" t="s">
        <v>178</v>
      </c>
      <c r="G94" s="132" t="s">
        <v>21</v>
      </c>
      <c r="H94" s="133">
        <v>0.39884999999999998</v>
      </c>
      <c r="I94" s="133"/>
      <c r="J94" s="129"/>
      <c r="K94" s="129"/>
      <c r="L94" s="129"/>
      <c r="M94" s="129"/>
      <c r="N94" s="129"/>
      <c r="O94" s="129"/>
      <c r="P94" s="129"/>
    </row>
    <row r="95" spans="1:16" s="14" customFormat="1" x14ac:dyDescent="0.2">
      <c r="A95" s="1" t="s">
        <v>1385</v>
      </c>
      <c r="B95" s="1" t="s">
        <v>1386</v>
      </c>
      <c r="C95" s="1" t="s">
        <v>24</v>
      </c>
      <c r="D95" s="134" t="s">
        <v>179</v>
      </c>
      <c r="E95" s="135" t="s">
        <v>18</v>
      </c>
      <c r="F95" s="136" t="s">
        <v>23</v>
      </c>
      <c r="G95" s="135" t="s">
        <v>24</v>
      </c>
      <c r="H95" s="137">
        <v>90.89</v>
      </c>
      <c r="I95" s="137">
        <v>36.2515</v>
      </c>
      <c r="J95" s="129">
        <v>22914.53</v>
      </c>
      <c r="K95" s="129">
        <f>+J95*I95</f>
        <v>830686.08429499995</v>
      </c>
      <c r="L95" s="129">
        <f>+I95*J95</f>
        <v>830686.08429499995</v>
      </c>
      <c r="M95" s="129"/>
      <c r="N95" s="129"/>
      <c r="O95" s="129"/>
      <c r="P95" s="129"/>
    </row>
    <row r="96" spans="1:16" s="15" customFormat="1" x14ac:dyDescent="0.2">
      <c r="A96" s="1" t="s">
        <v>1385</v>
      </c>
      <c r="B96" s="1" t="s">
        <v>1386</v>
      </c>
      <c r="C96" s="1" t="s">
        <v>28</v>
      </c>
      <c r="D96" s="138" t="s">
        <v>180</v>
      </c>
      <c r="E96" s="139" t="s">
        <v>26</v>
      </c>
      <c r="F96" s="140" t="s">
        <v>27</v>
      </c>
      <c r="G96" s="139" t="s">
        <v>28</v>
      </c>
      <c r="H96" s="141">
        <v>6.12</v>
      </c>
      <c r="I96" s="141">
        <v>2.4409999999999998</v>
      </c>
      <c r="J96" s="129">
        <v>1253</v>
      </c>
      <c r="K96" s="129">
        <f>+J96*I96</f>
        <v>3058.5729999999999</v>
      </c>
      <c r="L96" s="129"/>
      <c r="M96" s="129">
        <f>+J96*I96</f>
        <v>3058.5729999999999</v>
      </c>
      <c r="N96" s="129"/>
      <c r="O96" s="129"/>
      <c r="P96" s="129"/>
    </row>
    <row r="97" spans="1:16" s="15" customFormat="1" x14ac:dyDescent="0.2">
      <c r="A97" s="1" t="s">
        <v>1385</v>
      </c>
      <c r="B97" s="1" t="s">
        <v>1386</v>
      </c>
      <c r="C97" s="1" t="s">
        <v>28</v>
      </c>
      <c r="D97" s="138" t="s">
        <v>181</v>
      </c>
      <c r="E97" s="139" t="s">
        <v>30</v>
      </c>
      <c r="F97" s="140" t="s">
        <v>31</v>
      </c>
      <c r="G97" s="139" t="s">
        <v>28</v>
      </c>
      <c r="H97" s="141">
        <v>1.57</v>
      </c>
      <c r="I97" s="141">
        <v>0.62619400000000003</v>
      </c>
      <c r="J97" s="129">
        <v>106655</v>
      </c>
      <c r="K97" s="129">
        <f>+J97*I97</f>
        <v>66786.72107</v>
      </c>
      <c r="L97" s="129"/>
      <c r="M97" s="129">
        <f>+J97*I97</f>
        <v>66786.72107</v>
      </c>
      <c r="N97" s="129"/>
      <c r="O97" s="129"/>
      <c r="P97" s="129"/>
    </row>
    <row r="98" spans="1:16" s="15" customFormat="1" x14ac:dyDescent="0.2">
      <c r="A98" s="1" t="s">
        <v>1385</v>
      </c>
      <c r="B98" s="1" t="s">
        <v>1386</v>
      </c>
      <c r="C98" s="1" t="s">
        <v>28</v>
      </c>
      <c r="D98" s="138" t="s">
        <v>182</v>
      </c>
      <c r="E98" s="139" t="s">
        <v>33</v>
      </c>
      <c r="F98" s="140" t="s">
        <v>34</v>
      </c>
      <c r="G98" s="139" t="s">
        <v>28</v>
      </c>
      <c r="H98" s="141">
        <v>9.42</v>
      </c>
      <c r="I98" s="141">
        <v>3.7572000000000001</v>
      </c>
      <c r="J98" s="129">
        <v>1732</v>
      </c>
      <c r="K98" s="129">
        <f>+J98*I98</f>
        <v>6507.4704000000002</v>
      </c>
      <c r="L98" s="129"/>
      <c r="M98" s="129">
        <f>+J98*I98</f>
        <v>6507.4704000000002</v>
      </c>
      <c r="N98" s="129"/>
      <c r="O98" s="129"/>
      <c r="P98" s="129"/>
    </row>
    <row r="99" spans="1:16" s="16" customFormat="1" x14ac:dyDescent="0.2">
      <c r="A99" s="1" t="s">
        <v>1385</v>
      </c>
      <c r="B99" s="1" t="s">
        <v>1386</v>
      </c>
      <c r="C99" s="1" t="s">
        <v>1399</v>
      </c>
      <c r="D99" s="142" t="s">
        <v>183</v>
      </c>
      <c r="E99" s="143" t="s">
        <v>184</v>
      </c>
      <c r="F99" s="144" t="s">
        <v>185</v>
      </c>
      <c r="G99" s="143" t="s">
        <v>38</v>
      </c>
      <c r="H99" s="145">
        <v>100</v>
      </c>
      <c r="I99" s="146">
        <v>39.884999999999998</v>
      </c>
      <c r="J99" s="129">
        <v>650000</v>
      </c>
      <c r="K99" s="129">
        <f>+J99*I99</f>
        <v>25925250</v>
      </c>
      <c r="L99" s="129"/>
      <c r="M99" s="129"/>
      <c r="N99" s="129">
        <f>+I99*J99</f>
        <v>25925250</v>
      </c>
      <c r="O99" s="129"/>
      <c r="P99" s="129"/>
    </row>
    <row r="100" spans="1:16" ht="15.75" x14ac:dyDescent="0.25">
      <c r="A100" s="1" t="s">
        <v>1385</v>
      </c>
      <c r="B100" s="1" t="s">
        <v>1386</v>
      </c>
      <c r="C100" s="1"/>
      <c r="D100" s="127" t="s">
        <v>186</v>
      </c>
      <c r="E100" s="128"/>
      <c r="F100" s="128"/>
      <c r="G100" s="128"/>
      <c r="H100" s="128"/>
      <c r="I100" s="128"/>
      <c r="J100" s="129"/>
      <c r="K100" s="129"/>
      <c r="L100" s="129"/>
      <c r="M100" s="129"/>
      <c r="N100" s="129"/>
      <c r="O100" s="129"/>
      <c r="P100" s="129"/>
    </row>
    <row r="101" spans="1:16" ht="15.75" x14ac:dyDescent="0.25">
      <c r="A101" s="1" t="s">
        <v>1385</v>
      </c>
      <c r="B101" s="1" t="s">
        <v>1386</v>
      </c>
      <c r="C101" s="1"/>
      <c r="D101" s="127" t="s">
        <v>187</v>
      </c>
      <c r="E101" s="128"/>
      <c r="F101" s="128"/>
      <c r="G101" s="128"/>
      <c r="H101" s="128"/>
      <c r="I101" s="128"/>
      <c r="J101" s="129"/>
      <c r="K101" s="129"/>
      <c r="L101" s="129"/>
      <c r="M101" s="129"/>
      <c r="N101" s="129"/>
      <c r="O101" s="129"/>
      <c r="P101" s="129"/>
    </row>
    <row r="102" spans="1:16" s="1" customFormat="1" ht="25.5" x14ac:dyDescent="0.2">
      <c r="A102" s="1" t="s">
        <v>1385</v>
      </c>
      <c r="B102" s="1" t="s">
        <v>1386</v>
      </c>
      <c r="C102" s="1" t="s">
        <v>1397</v>
      </c>
      <c r="D102" s="130" t="s">
        <v>188</v>
      </c>
      <c r="E102" s="131" t="s">
        <v>189</v>
      </c>
      <c r="F102" s="131" t="s">
        <v>190</v>
      </c>
      <c r="G102" s="132" t="s">
        <v>21</v>
      </c>
      <c r="H102" s="133">
        <v>7.8304999999999998</v>
      </c>
      <c r="I102" s="133"/>
      <c r="J102" s="129"/>
      <c r="K102" s="129"/>
      <c r="L102" s="129"/>
      <c r="M102" s="129"/>
      <c r="N102" s="129"/>
      <c r="O102" s="129"/>
      <c r="P102" s="129"/>
    </row>
    <row r="103" spans="1:16" s="14" customFormat="1" x14ac:dyDescent="0.2">
      <c r="A103" s="1" t="s">
        <v>1385</v>
      </c>
      <c r="B103" s="1" t="s">
        <v>1386</v>
      </c>
      <c r="C103" s="1" t="s">
        <v>24</v>
      </c>
      <c r="D103" s="134" t="s">
        <v>191</v>
      </c>
      <c r="E103" s="135" t="s">
        <v>18</v>
      </c>
      <c r="F103" s="136" t="s">
        <v>23</v>
      </c>
      <c r="G103" s="135" t="s">
        <v>24</v>
      </c>
      <c r="H103" s="137">
        <v>10.210000000000001</v>
      </c>
      <c r="I103" s="137">
        <v>79.949399999999997</v>
      </c>
      <c r="J103" s="129">
        <v>22914.53</v>
      </c>
      <c r="K103" s="129">
        <f t="shared" ref="K103:K108" si="3">+J103*I103</f>
        <v>1832002.9247819998</v>
      </c>
      <c r="L103" s="129">
        <f>+I103*J103</f>
        <v>1832002.9247819998</v>
      </c>
      <c r="M103" s="129"/>
      <c r="N103" s="129"/>
      <c r="O103" s="129"/>
      <c r="P103" s="129"/>
    </row>
    <row r="104" spans="1:16" s="15" customFormat="1" x14ac:dyDescent="0.2">
      <c r="A104" s="1" t="s">
        <v>1385</v>
      </c>
      <c r="B104" s="1" t="s">
        <v>1386</v>
      </c>
      <c r="C104" s="1" t="s">
        <v>28</v>
      </c>
      <c r="D104" s="138" t="s">
        <v>192</v>
      </c>
      <c r="E104" s="139" t="s">
        <v>193</v>
      </c>
      <c r="F104" s="140" t="s">
        <v>31</v>
      </c>
      <c r="G104" s="139" t="s">
        <v>28</v>
      </c>
      <c r="H104" s="141">
        <v>0.02</v>
      </c>
      <c r="I104" s="141">
        <v>0.15661</v>
      </c>
      <c r="J104" s="129">
        <v>106655</v>
      </c>
      <c r="K104" s="129">
        <f t="shared" si="3"/>
        <v>16703.239549999998</v>
      </c>
      <c r="L104" s="129"/>
      <c r="M104" s="129">
        <f>+J104*I104</f>
        <v>16703.239549999998</v>
      </c>
      <c r="N104" s="129"/>
      <c r="O104" s="129"/>
      <c r="P104" s="129"/>
    </row>
    <row r="105" spans="1:16" s="16" customFormat="1" x14ac:dyDescent="0.2">
      <c r="A105" s="1" t="s">
        <v>1385</v>
      </c>
      <c r="B105" s="1" t="s">
        <v>1386</v>
      </c>
      <c r="C105" s="1" t="s">
        <v>1399</v>
      </c>
      <c r="D105" s="142" t="s">
        <v>194</v>
      </c>
      <c r="E105" s="143" t="s">
        <v>195</v>
      </c>
      <c r="F105" s="144" t="s">
        <v>196</v>
      </c>
      <c r="G105" s="143" t="s">
        <v>107</v>
      </c>
      <c r="H105" s="146">
        <v>1.7000000000000001E-2</v>
      </c>
      <c r="I105" s="146">
        <v>0.13311899999999999</v>
      </c>
      <c r="J105" s="129">
        <v>300000</v>
      </c>
      <c r="K105" s="129">
        <f t="shared" si="3"/>
        <v>39935.699999999997</v>
      </c>
      <c r="L105" s="129"/>
      <c r="M105" s="129"/>
      <c r="N105" s="129">
        <f>+I105*J105</f>
        <v>39935.699999999997</v>
      </c>
      <c r="O105" s="129"/>
      <c r="P105" s="129"/>
    </row>
    <row r="106" spans="1:16" s="16" customFormat="1" x14ac:dyDescent="0.2">
      <c r="A106" s="1" t="s">
        <v>1385</v>
      </c>
      <c r="B106" s="1" t="s">
        <v>1386</v>
      </c>
      <c r="C106" s="1" t="s">
        <v>1399</v>
      </c>
      <c r="D106" s="142" t="s">
        <v>197</v>
      </c>
      <c r="E106" s="143" t="s">
        <v>198</v>
      </c>
      <c r="F106" s="144" t="s">
        <v>199</v>
      </c>
      <c r="G106" s="143" t="s">
        <v>107</v>
      </c>
      <c r="H106" s="146">
        <v>5.0000000000000001E-4</v>
      </c>
      <c r="I106" s="146">
        <v>3.9150000000000001E-3</v>
      </c>
      <c r="J106" s="129">
        <v>6500000</v>
      </c>
      <c r="K106" s="129">
        <f t="shared" si="3"/>
        <v>25447.5</v>
      </c>
      <c r="L106" s="129"/>
      <c r="M106" s="129"/>
      <c r="N106" s="129">
        <f>+I106*J106</f>
        <v>25447.5</v>
      </c>
      <c r="O106" s="129"/>
      <c r="P106" s="129"/>
    </row>
    <row r="107" spans="1:16" s="16" customFormat="1" x14ac:dyDescent="0.2">
      <c r="A107" s="1" t="s">
        <v>1385</v>
      </c>
      <c r="B107" s="1" t="s">
        <v>1386</v>
      </c>
      <c r="C107" s="1" t="s">
        <v>1399</v>
      </c>
      <c r="D107" s="142" t="s">
        <v>200</v>
      </c>
      <c r="E107" s="143" t="s">
        <v>201</v>
      </c>
      <c r="F107" s="144" t="s">
        <v>202</v>
      </c>
      <c r="G107" s="143" t="s">
        <v>107</v>
      </c>
      <c r="H107" s="146">
        <v>1.6000000000000001E-3</v>
      </c>
      <c r="I107" s="146">
        <v>1.2529E-2</v>
      </c>
      <c r="J107" s="129">
        <v>1150000</v>
      </c>
      <c r="K107" s="129">
        <f t="shared" si="3"/>
        <v>14408.35</v>
      </c>
      <c r="L107" s="129"/>
      <c r="M107" s="129"/>
      <c r="N107" s="129">
        <f>+I107*J107</f>
        <v>14408.35</v>
      </c>
      <c r="O107" s="129"/>
      <c r="P107" s="129"/>
    </row>
    <row r="108" spans="1:16" s="16" customFormat="1" x14ac:dyDescent="0.2">
      <c r="A108" s="1" t="s">
        <v>1385</v>
      </c>
      <c r="B108" s="1" t="s">
        <v>1386</v>
      </c>
      <c r="C108" s="1" t="s">
        <v>1399</v>
      </c>
      <c r="D108" s="142" t="s">
        <v>203</v>
      </c>
      <c r="E108" s="143" t="s">
        <v>204</v>
      </c>
      <c r="F108" s="144" t="s">
        <v>205</v>
      </c>
      <c r="G108" s="143" t="s">
        <v>38</v>
      </c>
      <c r="H108" s="146">
        <v>0.8</v>
      </c>
      <c r="I108" s="146">
        <v>6.2644000000000002</v>
      </c>
      <c r="J108" s="129">
        <v>15000</v>
      </c>
      <c r="K108" s="129">
        <f t="shared" si="3"/>
        <v>93966</v>
      </c>
      <c r="L108" s="129"/>
      <c r="M108" s="129"/>
      <c r="N108" s="129">
        <f>+I108*J108</f>
        <v>93966</v>
      </c>
      <c r="O108" s="129"/>
      <c r="P108" s="129"/>
    </row>
    <row r="109" spans="1:16" ht="15.75" x14ac:dyDescent="0.25">
      <c r="A109" s="1" t="s">
        <v>1385</v>
      </c>
      <c r="B109" s="1" t="s">
        <v>1386</v>
      </c>
      <c r="C109" s="1"/>
      <c r="D109" s="127" t="s">
        <v>206</v>
      </c>
      <c r="E109" s="128"/>
      <c r="F109" s="128"/>
      <c r="G109" s="128"/>
      <c r="H109" s="128"/>
      <c r="I109" s="128"/>
      <c r="J109" s="129"/>
      <c r="K109" s="129"/>
      <c r="L109" s="129"/>
      <c r="M109" s="129"/>
      <c r="N109" s="129"/>
      <c r="O109" s="129"/>
      <c r="P109" s="129"/>
    </row>
    <row r="110" spans="1:16" ht="15.75" x14ac:dyDescent="0.25">
      <c r="A110" s="1" t="s">
        <v>1385</v>
      </c>
      <c r="B110" s="1" t="s">
        <v>1386</v>
      </c>
      <c r="C110" s="1"/>
      <c r="D110" s="127" t="s">
        <v>207</v>
      </c>
      <c r="E110" s="128"/>
      <c r="F110" s="128"/>
      <c r="G110" s="128"/>
      <c r="H110" s="128"/>
      <c r="I110" s="128"/>
      <c r="J110" s="129"/>
      <c r="K110" s="129"/>
      <c r="L110" s="129"/>
      <c r="M110" s="129"/>
      <c r="N110" s="129"/>
      <c r="O110" s="129"/>
      <c r="P110" s="129"/>
    </row>
    <row r="111" spans="1:16" s="1" customFormat="1" ht="63.75" x14ac:dyDescent="0.2">
      <c r="A111" s="1" t="s">
        <v>1385</v>
      </c>
      <c r="B111" s="1" t="s">
        <v>1386</v>
      </c>
      <c r="C111" s="1" t="s">
        <v>1397</v>
      </c>
      <c r="D111" s="130" t="s">
        <v>208</v>
      </c>
      <c r="E111" s="131" t="s">
        <v>209</v>
      </c>
      <c r="F111" s="131" t="s">
        <v>210</v>
      </c>
      <c r="G111" s="132" t="s">
        <v>21</v>
      </c>
      <c r="H111" s="133">
        <v>2.5897999999999999</v>
      </c>
      <c r="I111" s="133"/>
      <c r="J111" s="129"/>
      <c r="K111" s="129"/>
      <c r="L111" s="129"/>
      <c r="M111" s="129"/>
      <c r="N111" s="129"/>
      <c r="O111" s="129"/>
      <c r="P111" s="129"/>
    </row>
    <row r="112" spans="1:16" s="14" customFormat="1" x14ac:dyDescent="0.2">
      <c r="A112" s="1" t="s">
        <v>1385</v>
      </c>
      <c r="B112" s="1" t="s">
        <v>1386</v>
      </c>
      <c r="C112" s="1" t="s">
        <v>24</v>
      </c>
      <c r="D112" s="134" t="s">
        <v>211</v>
      </c>
      <c r="E112" s="135" t="s">
        <v>18</v>
      </c>
      <c r="F112" s="136" t="s">
        <v>23</v>
      </c>
      <c r="G112" s="135" t="s">
        <v>24</v>
      </c>
      <c r="H112" s="137">
        <v>68.099999999999994</v>
      </c>
      <c r="I112" s="137">
        <v>176.36539999999999</v>
      </c>
      <c r="J112" s="129">
        <v>22914.53</v>
      </c>
      <c r="K112" s="129">
        <f>+J112*I112</f>
        <v>4041330.2492619995</v>
      </c>
      <c r="L112" s="129">
        <f>+I112*J112</f>
        <v>4041330.2492619995</v>
      </c>
      <c r="M112" s="129"/>
      <c r="N112" s="129"/>
      <c r="O112" s="129"/>
      <c r="P112" s="129"/>
    </row>
    <row r="113" spans="1:16" s="15" customFormat="1" x14ac:dyDescent="0.2">
      <c r="A113" s="1" t="s">
        <v>1385</v>
      </c>
      <c r="B113" s="1" t="s">
        <v>1386</v>
      </c>
      <c r="C113" s="1" t="s">
        <v>28</v>
      </c>
      <c r="D113" s="138" t="s">
        <v>212</v>
      </c>
      <c r="E113" s="139" t="s">
        <v>213</v>
      </c>
      <c r="F113" s="140" t="s">
        <v>214</v>
      </c>
      <c r="G113" s="139" t="s">
        <v>28</v>
      </c>
      <c r="H113" s="141">
        <v>1.95</v>
      </c>
      <c r="I113" s="141">
        <v>5.0500999999999996</v>
      </c>
      <c r="J113" s="129">
        <v>1399</v>
      </c>
      <c r="K113" s="129">
        <f>+J113*I113</f>
        <v>7065.089899999999</v>
      </c>
      <c r="L113" s="129"/>
      <c r="M113" s="129">
        <f>+J113*I113</f>
        <v>7065.089899999999</v>
      </c>
      <c r="N113" s="129"/>
      <c r="O113" s="129"/>
      <c r="P113" s="129"/>
    </row>
    <row r="114" spans="1:16" s="16" customFormat="1" x14ac:dyDescent="0.2">
      <c r="A114" s="1" t="s">
        <v>1385</v>
      </c>
      <c r="B114" s="1" t="s">
        <v>1386</v>
      </c>
      <c r="C114" s="1" t="s">
        <v>1399</v>
      </c>
      <c r="D114" s="142" t="s">
        <v>215</v>
      </c>
      <c r="E114" s="143" t="s">
        <v>216</v>
      </c>
      <c r="F114" s="144" t="s">
        <v>217</v>
      </c>
      <c r="G114" s="143" t="s">
        <v>107</v>
      </c>
      <c r="H114" s="146">
        <v>0.96199999999999997</v>
      </c>
      <c r="I114" s="146">
        <v>2.4914000000000001</v>
      </c>
      <c r="J114" s="129">
        <v>1150000</v>
      </c>
      <c r="K114" s="129">
        <f>+J114*I114</f>
        <v>2865110</v>
      </c>
      <c r="L114" s="129"/>
      <c r="M114" s="129"/>
      <c r="N114" s="129">
        <f>+I114*J114</f>
        <v>2865110</v>
      </c>
      <c r="O114" s="129"/>
      <c r="P114" s="129"/>
    </row>
    <row r="115" spans="1:16" s="16" customFormat="1" x14ac:dyDescent="0.2">
      <c r="A115" s="1" t="s">
        <v>1385</v>
      </c>
      <c r="B115" s="1" t="s">
        <v>1386</v>
      </c>
      <c r="C115" s="1" t="s">
        <v>1399</v>
      </c>
      <c r="D115" s="142" t="s">
        <v>218</v>
      </c>
      <c r="E115" s="143" t="s">
        <v>219</v>
      </c>
      <c r="F115" s="144" t="s">
        <v>220</v>
      </c>
      <c r="G115" s="143" t="s">
        <v>107</v>
      </c>
      <c r="H115" s="146">
        <v>0.02</v>
      </c>
      <c r="I115" s="146">
        <v>5.1796000000000002E-2</v>
      </c>
      <c r="J115" s="129">
        <v>12000000</v>
      </c>
      <c r="K115" s="129">
        <f>+J115*I115</f>
        <v>621552</v>
      </c>
      <c r="L115" s="129"/>
      <c r="M115" s="129"/>
      <c r="N115" s="129">
        <f>+I115*J115</f>
        <v>621552</v>
      </c>
      <c r="O115" s="129"/>
      <c r="P115" s="129"/>
    </row>
    <row r="116" spans="1:16" s="1" customFormat="1" ht="26.25" customHeight="1" x14ac:dyDescent="0.2">
      <c r="A116" s="1" t="s">
        <v>1385</v>
      </c>
      <c r="B116" s="1" t="s">
        <v>1386</v>
      </c>
      <c r="C116" s="1" t="s">
        <v>1397</v>
      </c>
      <c r="D116" s="130" t="s">
        <v>221</v>
      </c>
      <c r="E116" s="131" t="s">
        <v>222</v>
      </c>
      <c r="F116" s="131" t="s">
        <v>223</v>
      </c>
      <c r="G116" s="132" t="s">
        <v>21</v>
      </c>
      <c r="H116" s="133">
        <v>-2.5897999999999999</v>
      </c>
      <c r="I116" s="133"/>
      <c r="J116" s="129"/>
      <c r="K116" s="129"/>
      <c r="L116" s="129"/>
      <c r="M116" s="129"/>
      <c r="N116" s="129"/>
      <c r="O116" s="129"/>
      <c r="P116" s="129"/>
    </row>
    <row r="117" spans="1:16" s="14" customFormat="1" x14ac:dyDescent="0.2">
      <c r="A117" s="1" t="s">
        <v>1385</v>
      </c>
      <c r="B117" s="1" t="s">
        <v>1386</v>
      </c>
      <c r="C117" s="1" t="s">
        <v>24</v>
      </c>
      <c r="D117" s="134" t="s">
        <v>224</v>
      </c>
      <c r="E117" s="135" t="s">
        <v>18</v>
      </c>
      <c r="F117" s="136" t="s">
        <v>23</v>
      </c>
      <c r="G117" s="135" t="s">
        <v>24</v>
      </c>
      <c r="H117" s="137">
        <v>49.04</v>
      </c>
      <c r="I117" s="137">
        <v>-127.0038</v>
      </c>
      <c r="J117" s="129">
        <v>22914.53</v>
      </c>
      <c r="K117" s="129">
        <f>+J117*I117</f>
        <v>-2910232.385214</v>
      </c>
      <c r="L117" s="129">
        <f>+I117*J117</f>
        <v>-2910232.385214</v>
      </c>
      <c r="M117" s="129"/>
      <c r="N117" s="129"/>
      <c r="O117" s="129"/>
      <c r="P117" s="129"/>
    </row>
    <row r="118" spans="1:16" s="15" customFormat="1" x14ac:dyDescent="0.2">
      <c r="A118" s="1" t="s">
        <v>1385</v>
      </c>
      <c r="B118" s="1" t="s">
        <v>1386</v>
      </c>
      <c r="C118" s="1" t="s">
        <v>28</v>
      </c>
      <c r="D118" s="138" t="s">
        <v>225</v>
      </c>
      <c r="E118" s="139" t="s">
        <v>213</v>
      </c>
      <c r="F118" s="140" t="s">
        <v>214</v>
      </c>
      <c r="G118" s="139" t="s">
        <v>28</v>
      </c>
      <c r="H118" s="141">
        <v>1.56</v>
      </c>
      <c r="I118" s="141">
        <v>-4.0400999999999998</v>
      </c>
      <c r="J118" s="129">
        <v>1399</v>
      </c>
      <c r="K118" s="129">
        <f>+J118*I118</f>
        <v>-5652.0999000000002</v>
      </c>
      <c r="L118" s="129"/>
      <c r="M118" s="129">
        <f>+J118*I118</f>
        <v>-5652.0999000000002</v>
      </c>
      <c r="N118" s="129"/>
      <c r="O118" s="129"/>
      <c r="P118" s="129"/>
    </row>
    <row r="119" spans="1:16" s="16" customFormat="1" x14ac:dyDescent="0.2">
      <c r="A119" s="1" t="s">
        <v>1385</v>
      </c>
      <c r="B119" s="1" t="s">
        <v>1386</v>
      </c>
      <c r="C119" s="1" t="s">
        <v>1399</v>
      </c>
      <c r="D119" s="142" t="s">
        <v>226</v>
      </c>
      <c r="E119" s="143" t="s">
        <v>216</v>
      </c>
      <c r="F119" s="144" t="s">
        <v>217</v>
      </c>
      <c r="G119" s="143" t="s">
        <v>107</v>
      </c>
      <c r="H119" s="146">
        <v>0.76959999999999995</v>
      </c>
      <c r="I119" s="146">
        <v>-1.9931000000000001</v>
      </c>
      <c r="J119" s="129">
        <v>1150000</v>
      </c>
      <c r="K119" s="129">
        <f>+J119*I119</f>
        <v>-2292065</v>
      </c>
      <c r="L119" s="129"/>
      <c r="M119" s="129"/>
      <c r="N119" s="129">
        <f>+I119*J119</f>
        <v>-2292065</v>
      </c>
      <c r="O119" s="129"/>
      <c r="P119" s="129"/>
    </row>
    <row r="120" spans="1:16" s="1" customFormat="1" ht="38.25" x14ac:dyDescent="0.2">
      <c r="A120" s="1" t="s">
        <v>1385</v>
      </c>
      <c r="B120" s="1" t="s">
        <v>1386</v>
      </c>
      <c r="C120" s="1" t="s">
        <v>1397</v>
      </c>
      <c r="D120" s="130" t="s">
        <v>227</v>
      </c>
      <c r="E120" s="131" t="s">
        <v>228</v>
      </c>
      <c r="F120" s="131" t="s">
        <v>229</v>
      </c>
      <c r="G120" s="132" t="s">
        <v>21</v>
      </c>
      <c r="H120" s="133">
        <v>2.5897999999999999</v>
      </c>
      <c r="I120" s="133"/>
      <c r="J120" s="129"/>
      <c r="K120" s="129"/>
      <c r="L120" s="129"/>
      <c r="M120" s="129"/>
      <c r="N120" s="129"/>
      <c r="O120" s="129"/>
      <c r="P120" s="129"/>
    </row>
    <row r="121" spans="1:16" s="14" customFormat="1" x14ac:dyDescent="0.2">
      <c r="A121" s="1" t="s">
        <v>1385</v>
      </c>
      <c r="B121" s="1" t="s">
        <v>1386</v>
      </c>
      <c r="C121" s="1" t="s">
        <v>24</v>
      </c>
      <c r="D121" s="134" t="s">
        <v>230</v>
      </c>
      <c r="E121" s="135" t="s">
        <v>18</v>
      </c>
      <c r="F121" s="136" t="s">
        <v>23</v>
      </c>
      <c r="G121" s="135" t="s">
        <v>24</v>
      </c>
      <c r="H121" s="137">
        <v>28.6</v>
      </c>
      <c r="I121" s="137">
        <v>74.068299999999994</v>
      </c>
      <c r="J121" s="129">
        <v>22914.53</v>
      </c>
      <c r="K121" s="129">
        <f>+J121*I121</f>
        <v>1697240.2823989997</v>
      </c>
      <c r="L121" s="129">
        <f>+I121*J121</f>
        <v>1697240.2823989997</v>
      </c>
      <c r="M121" s="129"/>
      <c r="N121" s="129"/>
      <c r="O121" s="129"/>
      <c r="P121" s="129"/>
    </row>
    <row r="122" spans="1:16" s="15" customFormat="1" x14ac:dyDescent="0.2">
      <c r="A122" s="1" t="s">
        <v>1385</v>
      </c>
      <c r="B122" s="1" t="s">
        <v>1386</v>
      </c>
      <c r="C122" s="1" t="s">
        <v>28</v>
      </c>
      <c r="D122" s="138" t="s">
        <v>231</v>
      </c>
      <c r="E122" s="139" t="s">
        <v>193</v>
      </c>
      <c r="F122" s="140" t="s">
        <v>31</v>
      </c>
      <c r="G122" s="139" t="s">
        <v>28</v>
      </c>
      <c r="H122" s="141">
        <v>0.1</v>
      </c>
      <c r="I122" s="141">
        <v>0.25897999999999999</v>
      </c>
      <c r="J122" s="129">
        <v>106655</v>
      </c>
      <c r="K122" s="129">
        <f>+J122*I122</f>
        <v>27621.511899999998</v>
      </c>
      <c r="L122" s="129"/>
      <c r="M122" s="129">
        <f>+J122*I122</f>
        <v>27621.511899999998</v>
      </c>
      <c r="N122" s="129"/>
      <c r="O122" s="129"/>
      <c r="P122" s="129"/>
    </row>
    <row r="123" spans="1:16" s="16" customFormat="1" x14ac:dyDescent="0.2">
      <c r="A123" s="1" t="s">
        <v>1385</v>
      </c>
      <c r="B123" s="1" t="s">
        <v>1386</v>
      </c>
      <c r="C123" s="1" t="s">
        <v>1399</v>
      </c>
      <c r="D123" s="142" t="s">
        <v>232</v>
      </c>
      <c r="E123" s="143" t="s">
        <v>233</v>
      </c>
      <c r="F123" s="144" t="s">
        <v>234</v>
      </c>
      <c r="G123" s="143" t="s">
        <v>107</v>
      </c>
      <c r="H123" s="146">
        <v>6.9000000000000006E-2</v>
      </c>
      <c r="I123" s="146">
        <v>0.17869599999999999</v>
      </c>
      <c r="J123" s="129">
        <v>8009000</v>
      </c>
      <c r="K123" s="129">
        <f>+J123*I123</f>
        <v>1431176.264</v>
      </c>
      <c r="L123" s="129"/>
      <c r="M123" s="129"/>
      <c r="N123" s="129">
        <f>+I123*J123</f>
        <v>1431176.264</v>
      </c>
      <c r="O123" s="129"/>
      <c r="P123" s="129"/>
    </row>
    <row r="124" spans="1:16" s="16" customFormat="1" x14ac:dyDescent="0.2">
      <c r="A124" s="1" t="s">
        <v>1385</v>
      </c>
      <c r="B124" s="1" t="s">
        <v>1386</v>
      </c>
      <c r="C124" s="1" t="s">
        <v>1399</v>
      </c>
      <c r="D124" s="142" t="s">
        <v>235</v>
      </c>
      <c r="E124" s="143" t="s">
        <v>201</v>
      </c>
      <c r="F124" s="144" t="s">
        <v>202</v>
      </c>
      <c r="G124" s="143" t="s">
        <v>107</v>
      </c>
      <c r="H124" s="146">
        <v>5.4999999999999997E-3</v>
      </c>
      <c r="I124" s="146">
        <v>1.4244E-2</v>
      </c>
      <c r="J124" s="129">
        <v>1150000</v>
      </c>
      <c r="K124" s="129">
        <f>+J124*I124</f>
        <v>16380.6</v>
      </c>
      <c r="L124" s="129"/>
      <c r="M124" s="129"/>
      <c r="N124" s="129">
        <f>+I124*J124</f>
        <v>16380.6</v>
      </c>
      <c r="O124" s="129"/>
      <c r="P124" s="129"/>
    </row>
    <row r="125" spans="1:16" s="16" customFormat="1" x14ac:dyDescent="0.2">
      <c r="A125" s="1" t="s">
        <v>1385</v>
      </c>
      <c r="B125" s="1" t="s">
        <v>1386</v>
      </c>
      <c r="C125" s="1" t="s">
        <v>1399</v>
      </c>
      <c r="D125" s="142" t="s">
        <v>236</v>
      </c>
      <c r="E125" s="143" t="s">
        <v>204</v>
      </c>
      <c r="F125" s="144" t="s">
        <v>205</v>
      </c>
      <c r="G125" s="143" t="s">
        <v>38</v>
      </c>
      <c r="H125" s="146">
        <v>0.84</v>
      </c>
      <c r="I125" s="146">
        <v>2.1753999999999998</v>
      </c>
      <c r="J125" s="129">
        <v>15000</v>
      </c>
      <c r="K125" s="129">
        <f>+J125*I125</f>
        <v>32630.999999999996</v>
      </c>
      <c r="L125" s="129"/>
      <c r="M125" s="129"/>
      <c r="N125" s="129">
        <f>+I125*J125</f>
        <v>32630.999999999996</v>
      </c>
      <c r="O125" s="129"/>
      <c r="P125" s="129"/>
    </row>
    <row r="126" spans="1:16" s="1" customFormat="1" ht="63.75" x14ac:dyDescent="0.2">
      <c r="A126" s="1" t="s">
        <v>1385</v>
      </c>
      <c r="B126" s="1" t="s">
        <v>1386</v>
      </c>
      <c r="C126" s="1" t="s">
        <v>1397</v>
      </c>
      <c r="D126" s="130" t="s">
        <v>237</v>
      </c>
      <c r="E126" s="131" t="s">
        <v>238</v>
      </c>
      <c r="F126" s="131" t="s">
        <v>239</v>
      </c>
      <c r="G126" s="132" t="s">
        <v>21</v>
      </c>
      <c r="H126" s="133">
        <v>6.1768000000000001</v>
      </c>
      <c r="I126" s="133"/>
      <c r="J126" s="129"/>
      <c r="K126" s="129"/>
      <c r="L126" s="129"/>
      <c r="M126" s="129"/>
      <c r="N126" s="129"/>
      <c r="O126" s="129"/>
      <c r="P126" s="129"/>
    </row>
    <row r="127" spans="1:16" s="14" customFormat="1" x14ac:dyDescent="0.2">
      <c r="A127" s="1" t="s">
        <v>1385</v>
      </c>
      <c r="B127" s="1" t="s">
        <v>1386</v>
      </c>
      <c r="C127" s="1" t="s">
        <v>24</v>
      </c>
      <c r="D127" s="134" t="s">
        <v>240</v>
      </c>
      <c r="E127" s="135" t="s">
        <v>18</v>
      </c>
      <c r="F127" s="136" t="s">
        <v>23</v>
      </c>
      <c r="G127" s="135" t="s">
        <v>24</v>
      </c>
      <c r="H127" s="137">
        <v>15.41</v>
      </c>
      <c r="I127" s="137">
        <v>95.1845</v>
      </c>
      <c r="J127" s="129">
        <v>22914.53</v>
      </c>
      <c r="K127" s="129">
        <f t="shared" ref="K127:K132" si="4">+J127*I127</f>
        <v>2181108.0807849998</v>
      </c>
      <c r="L127" s="129">
        <f>+I127*J127</f>
        <v>2181108.0807849998</v>
      </c>
      <c r="M127" s="129"/>
      <c r="N127" s="129"/>
      <c r="O127" s="129"/>
      <c r="P127" s="129"/>
    </row>
    <row r="128" spans="1:16" s="15" customFormat="1" x14ac:dyDescent="0.2">
      <c r="A128" s="1" t="s">
        <v>1385</v>
      </c>
      <c r="B128" s="1" t="s">
        <v>1386</v>
      </c>
      <c r="C128" s="1" t="s">
        <v>28</v>
      </c>
      <c r="D128" s="138" t="s">
        <v>241</v>
      </c>
      <c r="E128" s="139" t="s">
        <v>242</v>
      </c>
      <c r="F128" s="140" t="s">
        <v>243</v>
      </c>
      <c r="G128" s="139" t="s">
        <v>28</v>
      </c>
      <c r="H128" s="141">
        <v>7.87</v>
      </c>
      <c r="I128" s="141">
        <v>48.611400000000003</v>
      </c>
      <c r="J128" s="129">
        <v>1053</v>
      </c>
      <c r="K128" s="129">
        <f t="shared" si="4"/>
        <v>51187.804200000006</v>
      </c>
      <c r="L128" s="129"/>
      <c r="M128" s="129">
        <f>+J128*I128</f>
        <v>51187.804200000006</v>
      </c>
      <c r="N128" s="129"/>
      <c r="O128" s="129"/>
      <c r="P128" s="129"/>
    </row>
    <row r="129" spans="1:16" s="16" customFormat="1" x14ac:dyDescent="0.2">
      <c r="A129" s="1" t="s">
        <v>1385</v>
      </c>
      <c r="B129" s="1" t="s">
        <v>1386</v>
      </c>
      <c r="C129" s="1" t="s">
        <v>1399</v>
      </c>
      <c r="D129" s="142" t="s">
        <v>244</v>
      </c>
      <c r="E129" s="143" t="s">
        <v>245</v>
      </c>
      <c r="F129" s="144" t="s">
        <v>246</v>
      </c>
      <c r="G129" s="143" t="s">
        <v>107</v>
      </c>
      <c r="H129" s="145">
        <v>1</v>
      </c>
      <c r="I129" s="146">
        <v>6.1768000000000001</v>
      </c>
      <c r="J129" s="129">
        <v>1150000</v>
      </c>
      <c r="K129" s="129">
        <f t="shared" si="4"/>
        <v>7103320</v>
      </c>
      <c r="L129" s="129"/>
      <c r="M129" s="129"/>
      <c r="N129" s="129">
        <f>+I129*J129</f>
        <v>7103320</v>
      </c>
      <c r="O129" s="129"/>
      <c r="P129" s="129"/>
    </row>
    <row r="130" spans="1:16" s="16" customFormat="1" x14ac:dyDescent="0.2">
      <c r="A130" s="1" t="s">
        <v>1385</v>
      </c>
      <c r="B130" s="1" t="s">
        <v>1386</v>
      </c>
      <c r="C130" s="1" t="s">
        <v>1399</v>
      </c>
      <c r="D130" s="142" t="s">
        <v>247</v>
      </c>
      <c r="E130" s="143" t="s">
        <v>248</v>
      </c>
      <c r="F130" s="144" t="s">
        <v>249</v>
      </c>
      <c r="G130" s="143" t="s">
        <v>250</v>
      </c>
      <c r="H130" s="145">
        <v>15</v>
      </c>
      <c r="I130" s="146">
        <v>92.652000000000001</v>
      </c>
      <c r="J130" s="129">
        <v>12000</v>
      </c>
      <c r="K130" s="129">
        <f t="shared" si="4"/>
        <v>1111824</v>
      </c>
      <c r="L130" s="129"/>
      <c r="M130" s="129"/>
      <c r="N130" s="129">
        <f>+I130*J130</f>
        <v>1111824</v>
      </c>
      <c r="O130" s="129"/>
      <c r="P130" s="129"/>
    </row>
    <row r="131" spans="1:16" s="16" customFormat="1" x14ac:dyDescent="0.2">
      <c r="A131" s="1" t="s">
        <v>1385</v>
      </c>
      <c r="B131" s="1" t="s">
        <v>1386</v>
      </c>
      <c r="C131" s="1" t="s">
        <v>1399</v>
      </c>
      <c r="D131" s="142" t="s">
        <v>251</v>
      </c>
      <c r="E131" s="143" t="s">
        <v>252</v>
      </c>
      <c r="F131" s="144" t="s">
        <v>253</v>
      </c>
      <c r="G131" s="143" t="s">
        <v>69</v>
      </c>
      <c r="H131" s="145">
        <v>230</v>
      </c>
      <c r="I131" s="146">
        <v>1420.664</v>
      </c>
      <c r="J131" s="129">
        <v>500</v>
      </c>
      <c r="K131" s="129">
        <f t="shared" si="4"/>
        <v>710332</v>
      </c>
      <c r="L131" s="129"/>
      <c r="M131" s="129"/>
      <c r="N131" s="129">
        <f>+I131*J131</f>
        <v>710332</v>
      </c>
      <c r="O131" s="129"/>
      <c r="P131" s="129"/>
    </row>
    <row r="132" spans="1:16" s="16" customFormat="1" x14ac:dyDescent="0.2">
      <c r="A132" s="1" t="s">
        <v>1385</v>
      </c>
      <c r="B132" s="1" t="s">
        <v>1386</v>
      </c>
      <c r="C132" s="1" t="s">
        <v>1399</v>
      </c>
      <c r="D132" s="142" t="s">
        <v>254</v>
      </c>
      <c r="E132" s="143" t="s">
        <v>255</v>
      </c>
      <c r="F132" s="144" t="s">
        <v>256</v>
      </c>
      <c r="G132" s="143" t="s">
        <v>69</v>
      </c>
      <c r="H132" s="145">
        <v>43</v>
      </c>
      <c r="I132" s="146">
        <v>265.60239999999999</v>
      </c>
      <c r="J132" s="129">
        <v>500</v>
      </c>
      <c r="K132" s="129">
        <f t="shared" si="4"/>
        <v>132801.19999999998</v>
      </c>
      <c r="L132" s="129"/>
      <c r="M132" s="129"/>
      <c r="N132" s="129">
        <f>+I132*J132</f>
        <v>132801.19999999998</v>
      </c>
      <c r="O132" s="129"/>
      <c r="P132" s="129"/>
    </row>
    <row r="133" spans="1:16" s="1" customFormat="1" ht="51" x14ac:dyDescent="0.2">
      <c r="A133" s="1" t="s">
        <v>1385</v>
      </c>
      <c r="B133" s="1" t="s">
        <v>1386</v>
      </c>
      <c r="C133" s="1" t="s">
        <v>1397</v>
      </c>
      <c r="D133" s="130" t="s">
        <v>257</v>
      </c>
      <c r="E133" s="131" t="s">
        <v>258</v>
      </c>
      <c r="F133" s="131" t="s">
        <v>259</v>
      </c>
      <c r="G133" s="132" t="s">
        <v>21</v>
      </c>
      <c r="H133" s="133">
        <v>0.87619999999999998</v>
      </c>
      <c r="I133" s="133"/>
      <c r="J133" s="129"/>
      <c r="K133" s="129"/>
      <c r="L133" s="129"/>
      <c r="M133" s="129"/>
      <c r="N133" s="129"/>
      <c r="O133" s="129"/>
      <c r="P133" s="129"/>
    </row>
    <row r="134" spans="1:16" s="14" customFormat="1" x14ac:dyDescent="0.2">
      <c r="A134" s="1" t="s">
        <v>1385</v>
      </c>
      <c r="B134" s="1" t="s">
        <v>1386</v>
      </c>
      <c r="C134" s="1" t="s">
        <v>24</v>
      </c>
      <c r="D134" s="134" t="s">
        <v>260</v>
      </c>
      <c r="E134" s="135" t="s">
        <v>18</v>
      </c>
      <c r="F134" s="136" t="s">
        <v>23</v>
      </c>
      <c r="G134" s="135" t="s">
        <v>24</v>
      </c>
      <c r="H134" s="137">
        <v>159.66999999999999</v>
      </c>
      <c r="I134" s="137">
        <v>139.90289999999999</v>
      </c>
      <c r="J134" s="129">
        <v>22914.53</v>
      </c>
      <c r="K134" s="129">
        <f>+J134*I134</f>
        <v>3205809.1991369994</v>
      </c>
      <c r="L134" s="129">
        <f>+I134*J134</f>
        <v>3205809.1991369994</v>
      </c>
      <c r="M134" s="129"/>
      <c r="N134" s="129"/>
      <c r="O134" s="129"/>
      <c r="P134" s="129"/>
    </row>
    <row r="135" spans="1:16" s="15" customFormat="1" x14ac:dyDescent="0.2">
      <c r="A135" s="1" t="s">
        <v>1385</v>
      </c>
      <c r="B135" s="1" t="s">
        <v>1386</v>
      </c>
      <c r="C135" s="1" t="s">
        <v>28</v>
      </c>
      <c r="D135" s="138" t="s">
        <v>261</v>
      </c>
      <c r="E135" s="139" t="s">
        <v>262</v>
      </c>
      <c r="F135" s="140" t="s">
        <v>263</v>
      </c>
      <c r="G135" s="139" t="s">
        <v>28</v>
      </c>
      <c r="H135" s="141">
        <v>0.08</v>
      </c>
      <c r="I135" s="141">
        <v>7.0096000000000006E-2</v>
      </c>
      <c r="J135" s="129">
        <v>140201</v>
      </c>
      <c r="K135" s="129">
        <f>+J135*I135</f>
        <v>9827.5292960000006</v>
      </c>
      <c r="L135" s="129"/>
      <c r="M135" s="129">
        <f>+J135*I135</f>
        <v>9827.5292960000006</v>
      </c>
      <c r="N135" s="129"/>
      <c r="O135" s="129"/>
      <c r="P135" s="129"/>
    </row>
    <row r="136" spans="1:16" s="16" customFormat="1" x14ac:dyDescent="0.2">
      <c r="A136" s="1" t="s">
        <v>1385</v>
      </c>
      <c r="B136" s="1" t="s">
        <v>1386</v>
      </c>
      <c r="C136" s="1" t="s">
        <v>1399</v>
      </c>
      <c r="D136" s="142" t="s">
        <v>264</v>
      </c>
      <c r="E136" s="143" t="s">
        <v>265</v>
      </c>
      <c r="F136" s="144" t="s">
        <v>266</v>
      </c>
      <c r="G136" s="143" t="s">
        <v>107</v>
      </c>
      <c r="H136" s="146">
        <v>0.375</v>
      </c>
      <c r="I136" s="146">
        <v>0.32857500000000001</v>
      </c>
      <c r="J136" s="129">
        <v>1150000</v>
      </c>
      <c r="K136" s="129">
        <f>+J136*I136</f>
        <v>377861.25</v>
      </c>
      <c r="L136" s="129"/>
      <c r="M136" s="129"/>
      <c r="N136" s="129">
        <f>+I136*J136</f>
        <v>377861.25</v>
      </c>
      <c r="O136" s="129"/>
      <c r="P136" s="129"/>
    </row>
    <row r="137" spans="1:16" s="16" customFormat="1" x14ac:dyDescent="0.2">
      <c r="A137" s="1" t="s">
        <v>1385</v>
      </c>
      <c r="B137" s="1" t="s">
        <v>1386</v>
      </c>
      <c r="C137" s="1" t="s">
        <v>1399</v>
      </c>
      <c r="D137" s="142" t="s">
        <v>267</v>
      </c>
      <c r="E137" s="143" t="s">
        <v>268</v>
      </c>
      <c r="F137" s="144" t="s">
        <v>269</v>
      </c>
      <c r="G137" s="143" t="s">
        <v>38</v>
      </c>
      <c r="H137" s="145">
        <v>100</v>
      </c>
      <c r="I137" s="146">
        <v>87.62</v>
      </c>
      <c r="J137" s="129">
        <v>48000</v>
      </c>
      <c r="K137" s="129">
        <f>+J137*I137</f>
        <v>4205760</v>
      </c>
      <c r="L137" s="129"/>
      <c r="M137" s="129"/>
      <c r="N137" s="129">
        <f>+I137*J137</f>
        <v>4205760</v>
      </c>
      <c r="O137" s="129"/>
      <c r="P137" s="129"/>
    </row>
    <row r="138" spans="1:16" s="16" customFormat="1" x14ac:dyDescent="0.2">
      <c r="A138" s="1" t="s">
        <v>1385</v>
      </c>
      <c r="B138" s="1" t="s">
        <v>1386</v>
      </c>
      <c r="C138" s="1" t="s">
        <v>1399</v>
      </c>
      <c r="D138" s="142" t="s">
        <v>270</v>
      </c>
      <c r="E138" s="143" t="s">
        <v>271</v>
      </c>
      <c r="F138" s="144" t="s">
        <v>272</v>
      </c>
      <c r="G138" s="143" t="s">
        <v>107</v>
      </c>
      <c r="H138" s="146">
        <v>0.05</v>
      </c>
      <c r="I138" s="146">
        <v>4.3810000000000002E-2</v>
      </c>
      <c r="J138" s="129">
        <v>1150000</v>
      </c>
      <c r="K138" s="129">
        <f>+J138*I138</f>
        <v>50381.5</v>
      </c>
      <c r="L138" s="129"/>
      <c r="M138" s="129"/>
      <c r="N138" s="129">
        <f>+I138*J138</f>
        <v>50381.5</v>
      </c>
      <c r="O138" s="129"/>
      <c r="P138" s="129"/>
    </row>
    <row r="139" spans="1:16" s="1" customFormat="1" ht="38.25" x14ac:dyDescent="0.2">
      <c r="A139" s="1" t="s">
        <v>1385</v>
      </c>
      <c r="B139" s="1" t="s">
        <v>1386</v>
      </c>
      <c r="C139" s="1" t="s">
        <v>1397</v>
      </c>
      <c r="D139" s="130" t="s">
        <v>273</v>
      </c>
      <c r="E139" s="131" t="s">
        <v>274</v>
      </c>
      <c r="F139" s="131" t="s">
        <v>275</v>
      </c>
      <c r="G139" s="132" t="s">
        <v>21</v>
      </c>
      <c r="H139" s="133">
        <v>6.1768000000000001</v>
      </c>
      <c r="I139" s="133"/>
      <c r="J139" s="129"/>
      <c r="K139" s="129"/>
      <c r="L139" s="129"/>
      <c r="M139" s="129"/>
      <c r="N139" s="129"/>
      <c r="O139" s="129"/>
      <c r="P139" s="129"/>
    </row>
    <row r="140" spans="1:16" s="14" customFormat="1" x14ac:dyDescent="0.2">
      <c r="A140" s="1" t="s">
        <v>1385</v>
      </c>
      <c r="B140" s="1" t="s">
        <v>1386</v>
      </c>
      <c r="C140" s="1" t="s">
        <v>24</v>
      </c>
      <c r="D140" s="134" t="s">
        <v>276</v>
      </c>
      <c r="E140" s="135" t="s">
        <v>18</v>
      </c>
      <c r="F140" s="136" t="s">
        <v>23</v>
      </c>
      <c r="G140" s="135" t="s">
        <v>24</v>
      </c>
      <c r="H140" s="137">
        <v>25.41</v>
      </c>
      <c r="I140" s="137">
        <v>156.95249999999999</v>
      </c>
      <c r="J140" s="129">
        <v>22914.53</v>
      </c>
      <c r="K140" s="129">
        <f>+J140*I140</f>
        <v>3596492.7698249994</v>
      </c>
      <c r="L140" s="129">
        <f>+I140*J140</f>
        <v>3596492.7698249994</v>
      </c>
      <c r="M140" s="129"/>
      <c r="N140" s="129"/>
      <c r="O140" s="129"/>
      <c r="P140" s="129"/>
    </row>
    <row r="141" spans="1:16" s="15" customFormat="1" x14ac:dyDescent="0.2">
      <c r="A141" s="1" t="s">
        <v>1385</v>
      </c>
      <c r="B141" s="1" t="s">
        <v>1386</v>
      </c>
      <c r="C141" s="1" t="s">
        <v>28</v>
      </c>
      <c r="D141" s="138" t="s">
        <v>277</v>
      </c>
      <c r="E141" s="139" t="s">
        <v>193</v>
      </c>
      <c r="F141" s="140" t="s">
        <v>31</v>
      </c>
      <c r="G141" s="139" t="s">
        <v>28</v>
      </c>
      <c r="H141" s="141">
        <v>0.1</v>
      </c>
      <c r="I141" s="141">
        <v>0.61768000000000001</v>
      </c>
      <c r="J141" s="129">
        <v>106655</v>
      </c>
      <c r="K141" s="129">
        <f>+J141*I141</f>
        <v>65878.660400000008</v>
      </c>
      <c r="L141" s="129"/>
      <c r="M141" s="129">
        <f>+J141*I141</f>
        <v>65878.660400000008</v>
      </c>
      <c r="N141" s="129"/>
      <c r="O141" s="129"/>
      <c r="P141" s="129"/>
    </row>
    <row r="142" spans="1:16" s="16" customFormat="1" x14ac:dyDescent="0.2">
      <c r="A142" s="1" t="s">
        <v>1385</v>
      </c>
      <c r="B142" s="1" t="s">
        <v>1386</v>
      </c>
      <c r="C142" s="1" t="s">
        <v>1399</v>
      </c>
      <c r="D142" s="142" t="s">
        <v>278</v>
      </c>
      <c r="E142" s="143" t="s">
        <v>233</v>
      </c>
      <c r="F142" s="144" t="s">
        <v>234</v>
      </c>
      <c r="G142" s="143" t="s">
        <v>107</v>
      </c>
      <c r="H142" s="146">
        <v>6.3E-2</v>
      </c>
      <c r="I142" s="146">
        <v>0.38913799999999998</v>
      </c>
      <c r="J142" s="129">
        <v>8009000</v>
      </c>
      <c r="K142" s="129">
        <f>+J142*I142</f>
        <v>3116606.2420000001</v>
      </c>
      <c r="L142" s="129"/>
      <c r="M142" s="129"/>
      <c r="N142" s="129">
        <f>+I142*J142</f>
        <v>3116606.2420000001</v>
      </c>
      <c r="O142" s="129"/>
      <c r="P142" s="129"/>
    </row>
    <row r="143" spans="1:16" s="16" customFormat="1" x14ac:dyDescent="0.2">
      <c r="A143" s="1" t="s">
        <v>1385</v>
      </c>
      <c r="B143" s="1" t="s">
        <v>1386</v>
      </c>
      <c r="C143" s="1" t="s">
        <v>1399</v>
      </c>
      <c r="D143" s="142" t="s">
        <v>279</v>
      </c>
      <c r="E143" s="143" t="s">
        <v>201</v>
      </c>
      <c r="F143" s="144" t="s">
        <v>202</v>
      </c>
      <c r="G143" s="143" t="s">
        <v>107</v>
      </c>
      <c r="H143" s="146">
        <v>5.0000000000000001E-3</v>
      </c>
      <c r="I143" s="146">
        <v>3.0884000000000002E-2</v>
      </c>
      <c r="J143" s="129">
        <v>1150000</v>
      </c>
      <c r="K143" s="129">
        <f>+J143*I143</f>
        <v>35516.6</v>
      </c>
      <c r="L143" s="129"/>
      <c r="M143" s="129"/>
      <c r="N143" s="129">
        <f>+I143*J143</f>
        <v>35516.6</v>
      </c>
      <c r="O143" s="129"/>
      <c r="P143" s="129"/>
    </row>
    <row r="144" spans="1:16" s="16" customFormat="1" x14ac:dyDescent="0.2">
      <c r="A144" s="1" t="s">
        <v>1385</v>
      </c>
      <c r="B144" s="1" t="s">
        <v>1386</v>
      </c>
      <c r="C144" s="1" t="s">
        <v>1399</v>
      </c>
      <c r="D144" s="142" t="s">
        <v>280</v>
      </c>
      <c r="E144" s="143" t="s">
        <v>204</v>
      </c>
      <c r="F144" s="144" t="s">
        <v>205</v>
      </c>
      <c r="G144" s="143" t="s">
        <v>38</v>
      </c>
      <c r="H144" s="146">
        <v>0.84</v>
      </c>
      <c r="I144" s="146">
        <v>5.1885000000000003</v>
      </c>
      <c r="J144" s="129">
        <v>15000</v>
      </c>
      <c r="K144" s="129">
        <f>+J144*I144</f>
        <v>77827.5</v>
      </c>
      <c r="L144" s="129"/>
      <c r="M144" s="129"/>
      <c r="N144" s="129">
        <f>+I144*J144</f>
        <v>77827.5</v>
      </c>
      <c r="O144" s="129"/>
      <c r="P144" s="129"/>
    </row>
    <row r="145" spans="1:16" ht="15.75" x14ac:dyDescent="0.25">
      <c r="A145" s="1" t="s">
        <v>1385</v>
      </c>
      <c r="B145" s="1" t="s">
        <v>1386</v>
      </c>
      <c r="C145" s="1"/>
      <c r="D145" s="127" t="s">
        <v>281</v>
      </c>
      <c r="E145" s="128"/>
      <c r="F145" s="128"/>
      <c r="G145" s="128"/>
      <c r="H145" s="128"/>
      <c r="I145" s="128"/>
      <c r="J145" s="129"/>
      <c r="K145" s="129"/>
      <c r="L145" s="129"/>
      <c r="M145" s="129"/>
      <c r="N145" s="129"/>
      <c r="O145" s="129"/>
      <c r="P145" s="129"/>
    </row>
    <row r="146" spans="1:16" ht="15.75" x14ac:dyDescent="0.25">
      <c r="A146" s="1" t="s">
        <v>1385</v>
      </c>
      <c r="B146" s="1" t="s">
        <v>1386</v>
      </c>
      <c r="C146" s="1"/>
      <c r="D146" s="127" t="s">
        <v>282</v>
      </c>
      <c r="E146" s="128"/>
      <c r="F146" s="128"/>
      <c r="G146" s="128"/>
      <c r="H146" s="128"/>
      <c r="I146" s="128"/>
      <c r="J146" s="129"/>
      <c r="K146" s="129"/>
      <c r="L146" s="129"/>
      <c r="M146" s="129"/>
      <c r="N146" s="129"/>
      <c r="O146" s="129"/>
      <c r="P146" s="129"/>
    </row>
    <row r="147" spans="1:16" s="1" customFormat="1" ht="63.75" x14ac:dyDescent="0.2">
      <c r="A147" s="1" t="s">
        <v>1385</v>
      </c>
      <c r="B147" s="1" t="s">
        <v>1386</v>
      </c>
      <c r="C147" s="1" t="s">
        <v>1397</v>
      </c>
      <c r="D147" s="130" t="s">
        <v>283</v>
      </c>
      <c r="E147" s="131" t="s">
        <v>209</v>
      </c>
      <c r="F147" s="131" t="s">
        <v>210</v>
      </c>
      <c r="G147" s="132" t="s">
        <v>21</v>
      </c>
      <c r="H147" s="133">
        <v>23.308199999999999</v>
      </c>
      <c r="I147" s="133"/>
      <c r="J147" s="129"/>
      <c r="K147" s="129"/>
      <c r="L147" s="129"/>
      <c r="M147" s="129"/>
      <c r="N147" s="129"/>
      <c r="O147" s="129"/>
      <c r="P147" s="129"/>
    </row>
    <row r="148" spans="1:16" s="14" customFormat="1" x14ac:dyDescent="0.2">
      <c r="A148" s="1" t="s">
        <v>1385</v>
      </c>
      <c r="B148" s="1" t="s">
        <v>1386</v>
      </c>
      <c r="C148" s="1" t="s">
        <v>24</v>
      </c>
      <c r="D148" s="134" t="s">
        <v>284</v>
      </c>
      <c r="E148" s="135" t="s">
        <v>18</v>
      </c>
      <c r="F148" s="136" t="s">
        <v>23</v>
      </c>
      <c r="G148" s="135" t="s">
        <v>24</v>
      </c>
      <c r="H148" s="137">
        <v>68.099999999999994</v>
      </c>
      <c r="I148" s="137">
        <v>1587.2883999999999</v>
      </c>
      <c r="J148" s="129">
        <v>22914.53</v>
      </c>
      <c r="K148" s="129">
        <f>+J148*I148</f>
        <v>36371967.660451993</v>
      </c>
      <c r="L148" s="129">
        <f>+I148*J148</f>
        <v>36371967.660451993</v>
      </c>
      <c r="M148" s="129"/>
      <c r="N148" s="129"/>
      <c r="O148" s="129"/>
      <c r="P148" s="129"/>
    </row>
    <row r="149" spans="1:16" s="15" customFormat="1" x14ac:dyDescent="0.2">
      <c r="A149" s="1" t="s">
        <v>1385</v>
      </c>
      <c r="B149" s="1" t="s">
        <v>1386</v>
      </c>
      <c r="C149" s="1" t="s">
        <v>28</v>
      </c>
      <c r="D149" s="138" t="s">
        <v>285</v>
      </c>
      <c r="E149" s="139" t="s">
        <v>213</v>
      </c>
      <c r="F149" s="140" t="s">
        <v>214</v>
      </c>
      <c r="G149" s="139" t="s">
        <v>28</v>
      </c>
      <c r="H149" s="141">
        <v>1.95</v>
      </c>
      <c r="I149" s="141">
        <v>45.451000000000001</v>
      </c>
      <c r="J149" s="129">
        <v>1399</v>
      </c>
      <c r="K149" s="129">
        <f>+J149*I149</f>
        <v>63585.949000000001</v>
      </c>
      <c r="L149" s="129"/>
      <c r="M149" s="129">
        <f>+J149*I149</f>
        <v>63585.949000000001</v>
      </c>
      <c r="N149" s="129"/>
      <c r="O149" s="129"/>
      <c r="P149" s="129"/>
    </row>
    <row r="150" spans="1:16" s="16" customFormat="1" x14ac:dyDescent="0.2">
      <c r="A150" s="1" t="s">
        <v>1385</v>
      </c>
      <c r="B150" s="1" t="s">
        <v>1386</v>
      </c>
      <c r="C150" s="1" t="s">
        <v>1399</v>
      </c>
      <c r="D150" s="142" t="s">
        <v>286</v>
      </c>
      <c r="E150" s="143" t="s">
        <v>216</v>
      </c>
      <c r="F150" s="144" t="s">
        <v>217</v>
      </c>
      <c r="G150" s="143" t="s">
        <v>107</v>
      </c>
      <c r="H150" s="146">
        <v>0.96199999999999997</v>
      </c>
      <c r="I150" s="146">
        <v>22.422499999999999</v>
      </c>
      <c r="J150" s="129">
        <v>1150000</v>
      </c>
      <c r="K150" s="129">
        <f>+J150*I150</f>
        <v>25785875</v>
      </c>
      <c r="L150" s="129"/>
      <c r="M150" s="129"/>
      <c r="N150" s="129">
        <f>+I150*J150</f>
        <v>25785875</v>
      </c>
      <c r="O150" s="129"/>
      <c r="P150" s="129"/>
    </row>
    <row r="151" spans="1:16" s="16" customFormat="1" x14ac:dyDescent="0.2">
      <c r="A151" s="1" t="s">
        <v>1385</v>
      </c>
      <c r="B151" s="1" t="s">
        <v>1386</v>
      </c>
      <c r="C151" s="1" t="s">
        <v>1399</v>
      </c>
      <c r="D151" s="142" t="s">
        <v>287</v>
      </c>
      <c r="E151" s="143" t="s">
        <v>219</v>
      </c>
      <c r="F151" s="144" t="s">
        <v>220</v>
      </c>
      <c r="G151" s="143" t="s">
        <v>107</v>
      </c>
      <c r="H151" s="146">
        <v>0.02</v>
      </c>
      <c r="I151" s="146">
        <v>0.46616400000000002</v>
      </c>
      <c r="J151" s="129">
        <v>12000000</v>
      </c>
      <c r="K151" s="129">
        <f>+J151*I151</f>
        <v>5593968</v>
      </c>
      <c r="L151" s="129"/>
      <c r="M151" s="129"/>
      <c r="N151" s="129">
        <f>+I151*J151</f>
        <v>5593968</v>
      </c>
      <c r="O151" s="129"/>
      <c r="P151" s="129"/>
    </row>
    <row r="152" spans="1:16" s="1" customFormat="1" ht="63.75" x14ac:dyDescent="0.2">
      <c r="A152" s="1" t="s">
        <v>1385</v>
      </c>
      <c r="B152" s="1" t="s">
        <v>1386</v>
      </c>
      <c r="C152" s="1" t="s">
        <v>1397</v>
      </c>
      <c r="D152" s="130" t="s">
        <v>288</v>
      </c>
      <c r="E152" s="131" t="s">
        <v>222</v>
      </c>
      <c r="F152" s="131" t="s">
        <v>223</v>
      </c>
      <c r="G152" s="132" t="s">
        <v>21</v>
      </c>
      <c r="H152" s="133">
        <v>-23.308199999999999</v>
      </c>
      <c r="I152" s="133"/>
      <c r="J152" s="129"/>
      <c r="K152" s="129"/>
      <c r="L152" s="129"/>
      <c r="M152" s="129"/>
      <c r="N152" s="129"/>
      <c r="O152" s="129"/>
      <c r="P152" s="129"/>
    </row>
    <row r="153" spans="1:16" s="14" customFormat="1" x14ac:dyDescent="0.2">
      <c r="A153" s="1" t="s">
        <v>1385</v>
      </c>
      <c r="B153" s="1" t="s">
        <v>1386</v>
      </c>
      <c r="C153" s="1" t="s">
        <v>24</v>
      </c>
      <c r="D153" s="134" t="s">
        <v>289</v>
      </c>
      <c r="E153" s="135" t="s">
        <v>18</v>
      </c>
      <c r="F153" s="136" t="s">
        <v>23</v>
      </c>
      <c r="G153" s="135" t="s">
        <v>24</v>
      </c>
      <c r="H153" s="137">
        <v>49.04</v>
      </c>
      <c r="I153" s="137">
        <v>-1143.0341000000001</v>
      </c>
      <c r="J153" s="129">
        <v>22914.53</v>
      </c>
      <c r="K153" s="129">
        <f>+J153*I153</f>
        <v>-26192089.175473001</v>
      </c>
      <c r="L153" s="129">
        <f>+I153*J153</f>
        <v>-26192089.175473001</v>
      </c>
      <c r="M153" s="129"/>
      <c r="N153" s="129"/>
      <c r="O153" s="129"/>
      <c r="P153" s="129"/>
    </row>
    <row r="154" spans="1:16" s="15" customFormat="1" x14ac:dyDescent="0.2">
      <c r="A154" s="1" t="s">
        <v>1385</v>
      </c>
      <c r="B154" s="1" t="s">
        <v>1386</v>
      </c>
      <c r="C154" s="1" t="s">
        <v>28</v>
      </c>
      <c r="D154" s="138" t="s">
        <v>290</v>
      </c>
      <c r="E154" s="139" t="s">
        <v>213</v>
      </c>
      <c r="F154" s="140" t="s">
        <v>214</v>
      </c>
      <c r="G154" s="139" t="s">
        <v>28</v>
      </c>
      <c r="H154" s="141">
        <v>1.56</v>
      </c>
      <c r="I154" s="141">
        <v>-36.360799999999998</v>
      </c>
      <c r="J154" s="129">
        <v>1399</v>
      </c>
      <c r="K154" s="129">
        <f>+J154*I154</f>
        <v>-50868.759199999993</v>
      </c>
      <c r="L154" s="129"/>
      <c r="M154" s="129">
        <f>+J154*I154</f>
        <v>-50868.759199999993</v>
      </c>
      <c r="N154" s="129"/>
      <c r="O154" s="129"/>
      <c r="P154" s="129"/>
    </row>
    <row r="155" spans="1:16" s="16" customFormat="1" x14ac:dyDescent="0.2">
      <c r="A155" s="1" t="s">
        <v>1385</v>
      </c>
      <c r="B155" s="1" t="s">
        <v>1386</v>
      </c>
      <c r="C155" s="1" t="s">
        <v>1399</v>
      </c>
      <c r="D155" s="142" t="s">
        <v>291</v>
      </c>
      <c r="E155" s="143" t="s">
        <v>216</v>
      </c>
      <c r="F155" s="144" t="s">
        <v>217</v>
      </c>
      <c r="G155" s="143" t="s">
        <v>107</v>
      </c>
      <c r="H155" s="146">
        <v>0.76959999999999995</v>
      </c>
      <c r="I155" s="146">
        <v>-17.937999999999999</v>
      </c>
      <c r="J155" s="129">
        <v>1150000</v>
      </c>
      <c r="K155" s="129">
        <f>+J155*I155</f>
        <v>-20628700</v>
      </c>
      <c r="L155" s="129"/>
      <c r="M155" s="129"/>
      <c r="N155" s="129">
        <f>+I155*J155</f>
        <v>-20628700</v>
      </c>
      <c r="O155" s="129"/>
      <c r="P155" s="129"/>
    </row>
    <row r="156" spans="1:16" s="1" customFormat="1" ht="38.25" x14ac:dyDescent="0.2">
      <c r="A156" s="1" t="s">
        <v>1385</v>
      </c>
      <c r="B156" s="1" t="s">
        <v>1386</v>
      </c>
      <c r="C156" s="1" t="s">
        <v>1397</v>
      </c>
      <c r="D156" s="130" t="s">
        <v>292</v>
      </c>
      <c r="E156" s="131" t="s">
        <v>228</v>
      </c>
      <c r="F156" s="131" t="s">
        <v>229</v>
      </c>
      <c r="G156" s="132" t="s">
        <v>21</v>
      </c>
      <c r="H156" s="133">
        <v>23.308199999999999</v>
      </c>
      <c r="I156" s="133"/>
      <c r="J156" s="129"/>
      <c r="K156" s="129"/>
      <c r="L156" s="129"/>
      <c r="M156" s="129"/>
      <c r="N156" s="129"/>
      <c r="O156" s="129"/>
      <c r="P156" s="129"/>
    </row>
    <row r="157" spans="1:16" s="14" customFormat="1" x14ac:dyDescent="0.2">
      <c r="A157" s="1" t="s">
        <v>1385</v>
      </c>
      <c r="B157" s="1" t="s">
        <v>1386</v>
      </c>
      <c r="C157" s="1" t="s">
        <v>24</v>
      </c>
      <c r="D157" s="134" t="s">
        <v>293</v>
      </c>
      <c r="E157" s="135" t="s">
        <v>18</v>
      </c>
      <c r="F157" s="136" t="s">
        <v>23</v>
      </c>
      <c r="G157" s="135" t="s">
        <v>24</v>
      </c>
      <c r="H157" s="137">
        <v>28.6</v>
      </c>
      <c r="I157" s="137">
        <v>666.61450000000002</v>
      </c>
      <c r="J157" s="129">
        <v>22914.53</v>
      </c>
      <c r="K157" s="129">
        <f>+J157*I157</f>
        <v>15275157.958684999</v>
      </c>
      <c r="L157" s="129">
        <f>+I157*J157</f>
        <v>15275157.958684999</v>
      </c>
      <c r="M157" s="129"/>
      <c r="N157" s="129"/>
      <c r="O157" s="129"/>
      <c r="P157" s="129"/>
    </row>
    <row r="158" spans="1:16" s="15" customFormat="1" x14ac:dyDescent="0.2">
      <c r="A158" s="1" t="s">
        <v>1385</v>
      </c>
      <c r="B158" s="1" t="s">
        <v>1386</v>
      </c>
      <c r="C158" s="1" t="s">
        <v>28</v>
      </c>
      <c r="D158" s="138" t="s">
        <v>294</v>
      </c>
      <c r="E158" s="139" t="s">
        <v>193</v>
      </c>
      <c r="F158" s="140" t="s">
        <v>31</v>
      </c>
      <c r="G158" s="139" t="s">
        <v>28</v>
      </c>
      <c r="H158" s="141">
        <v>0.1</v>
      </c>
      <c r="I158" s="141">
        <v>2.3308</v>
      </c>
      <c r="J158" s="129">
        <v>106655</v>
      </c>
      <c r="K158" s="129">
        <f>+J158*I158</f>
        <v>248591.47399999999</v>
      </c>
      <c r="L158" s="129"/>
      <c r="M158" s="129">
        <f>+J158*I158</f>
        <v>248591.47399999999</v>
      </c>
      <c r="N158" s="129"/>
      <c r="O158" s="129"/>
      <c r="P158" s="129"/>
    </row>
    <row r="159" spans="1:16" s="16" customFormat="1" x14ac:dyDescent="0.2">
      <c r="A159" s="1" t="s">
        <v>1385</v>
      </c>
      <c r="B159" s="1" t="s">
        <v>1386</v>
      </c>
      <c r="C159" s="1" t="s">
        <v>1399</v>
      </c>
      <c r="D159" s="142" t="s">
        <v>295</v>
      </c>
      <c r="E159" s="143" t="s">
        <v>233</v>
      </c>
      <c r="F159" s="144" t="s">
        <v>234</v>
      </c>
      <c r="G159" s="143" t="s">
        <v>107</v>
      </c>
      <c r="H159" s="146">
        <v>6.9000000000000006E-2</v>
      </c>
      <c r="I159" s="146">
        <v>1.6083000000000001</v>
      </c>
      <c r="J159" s="129">
        <v>8009000</v>
      </c>
      <c r="K159" s="129">
        <f>+J159*I159</f>
        <v>12880874.700000001</v>
      </c>
      <c r="L159" s="129"/>
      <c r="M159" s="129"/>
      <c r="N159" s="129">
        <f>+I159*J159</f>
        <v>12880874.700000001</v>
      </c>
      <c r="O159" s="129"/>
      <c r="P159" s="129"/>
    </row>
    <row r="160" spans="1:16" s="16" customFormat="1" x14ac:dyDescent="0.2">
      <c r="A160" s="1" t="s">
        <v>1385</v>
      </c>
      <c r="B160" s="1" t="s">
        <v>1386</v>
      </c>
      <c r="C160" s="1" t="s">
        <v>1399</v>
      </c>
      <c r="D160" s="142" t="s">
        <v>296</v>
      </c>
      <c r="E160" s="143" t="s">
        <v>201</v>
      </c>
      <c r="F160" s="144" t="s">
        <v>202</v>
      </c>
      <c r="G160" s="143" t="s">
        <v>107</v>
      </c>
      <c r="H160" s="146">
        <v>5.4999999999999997E-3</v>
      </c>
      <c r="I160" s="146">
        <v>0.128195</v>
      </c>
      <c r="J160" s="129">
        <v>1150000</v>
      </c>
      <c r="K160" s="129">
        <f>+J160*I160</f>
        <v>147424.25</v>
      </c>
      <c r="L160" s="129"/>
      <c r="M160" s="129"/>
      <c r="N160" s="129">
        <f>+I160*J160</f>
        <v>147424.25</v>
      </c>
      <c r="O160" s="129"/>
      <c r="P160" s="129"/>
    </row>
    <row r="161" spans="1:16" s="16" customFormat="1" x14ac:dyDescent="0.2">
      <c r="A161" s="1" t="s">
        <v>1385</v>
      </c>
      <c r="B161" s="1" t="s">
        <v>1386</v>
      </c>
      <c r="C161" s="1" t="s">
        <v>1399</v>
      </c>
      <c r="D161" s="142" t="s">
        <v>297</v>
      </c>
      <c r="E161" s="143" t="s">
        <v>204</v>
      </c>
      <c r="F161" s="144" t="s">
        <v>205</v>
      </c>
      <c r="G161" s="143" t="s">
        <v>38</v>
      </c>
      <c r="H161" s="146">
        <v>0.84</v>
      </c>
      <c r="I161" s="146">
        <v>19.578900000000001</v>
      </c>
      <c r="J161" s="129">
        <v>15000</v>
      </c>
      <c r="K161" s="129">
        <f>+J161*I161</f>
        <v>293683.5</v>
      </c>
      <c r="L161" s="129"/>
      <c r="M161" s="129"/>
      <c r="N161" s="129">
        <f>+I161*J161</f>
        <v>293683.5</v>
      </c>
      <c r="O161" s="129"/>
      <c r="P161" s="129"/>
    </row>
    <row r="162" spans="1:16" s="1" customFormat="1" ht="63.75" x14ac:dyDescent="0.2">
      <c r="A162" s="1" t="s">
        <v>1385</v>
      </c>
      <c r="B162" s="1" t="s">
        <v>1386</v>
      </c>
      <c r="C162" s="1" t="s">
        <v>1397</v>
      </c>
      <c r="D162" s="130" t="s">
        <v>298</v>
      </c>
      <c r="E162" s="131" t="s">
        <v>299</v>
      </c>
      <c r="F162" s="131" t="s">
        <v>300</v>
      </c>
      <c r="G162" s="132" t="s">
        <v>21</v>
      </c>
      <c r="H162" s="133">
        <v>7.1315999999999997</v>
      </c>
      <c r="I162" s="133"/>
      <c r="J162" s="129"/>
      <c r="K162" s="129"/>
      <c r="L162" s="129"/>
      <c r="M162" s="129"/>
      <c r="N162" s="129"/>
      <c r="O162" s="129"/>
      <c r="P162" s="129"/>
    </row>
    <row r="163" spans="1:16" s="14" customFormat="1" x14ac:dyDescent="0.2">
      <c r="A163" s="1" t="s">
        <v>1385</v>
      </c>
      <c r="B163" s="1" t="s">
        <v>1386</v>
      </c>
      <c r="C163" s="1" t="s">
        <v>24</v>
      </c>
      <c r="D163" s="134" t="s">
        <v>301</v>
      </c>
      <c r="E163" s="135" t="s">
        <v>18</v>
      </c>
      <c r="F163" s="136" t="s">
        <v>23</v>
      </c>
      <c r="G163" s="135" t="s">
        <v>24</v>
      </c>
      <c r="H163" s="137">
        <v>128.85</v>
      </c>
      <c r="I163" s="137">
        <v>918.9067</v>
      </c>
      <c r="J163" s="129">
        <v>22914.53</v>
      </c>
      <c r="K163" s="129">
        <f t="shared" ref="K163:K176" si="5">+J163*I163</f>
        <v>21056315.144350998</v>
      </c>
      <c r="L163" s="129">
        <f>+I163*J163</f>
        <v>21056315.144350998</v>
      </c>
      <c r="M163" s="129"/>
      <c r="N163" s="129"/>
      <c r="O163" s="129"/>
      <c r="P163" s="129"/>
    </row>
    <row r="164" spans="1:16" s="15" customFormat="1" x14ac:dyDescent="0.2">
      <c r="A164" s="1" t="s">
        <v>1385</v>
      </c>
      <c r="B164" s="1" t="s">
        <v>1386</v>
      </c>
      <c r="C164" s="1" t="s">
        <v>28</v>
      </c>
      <c r="D164" s="138" t="s">
        <v>302</v>
      </c>
      <c r="E164" s="139" t="s">
        <v>213</v>
      </c>
      <c r="F164" s="140" t="s">
        <v>214</v>
      </c>
      <c r="G164" s="139" t="s">
        <v>28</v>
      </c>
      <c r="H164" s="149">
        <v>6</v>
      </c>
      <c r="I164" s="141">
        <v>42.7896</v>
      </c>
      <c r="J164" s="129">
        <v>1399</v>
      </c>
      <c r="K164" s="129">
        <f t="shared" si="5"/>
        <v>59862.650399999999</v>
      </c>
      <c r="L164" s="129"/>
      <c r="M164" s="129">
        <f>+J164*I164</f>
        <v>59862.650399999999</v>
      </c>
      <c r="N164" s="129"/>
      <c r="O164" s="129"/>
      <c r="P164" s="129"/>
    </row>
    <row r="165" spans="1:16" s="15" customFormat="1" x14ac:dyDescent="0.2">
      <c r="A165" s="1" t="s">
        <v>1385</v>
      </c>
      <c r="B165" s="1" t="s">
        <v>1386</v>
      </c>
      <c r="C165" s="1" t="s">
        <v>28</v>
      </c>
      <c r="D165" s="138" t="s">
        <v>303</v>
      </c>
      <c r="E165" s="139" t="s">
        <v>26</v>
      </c>
      <c r="F165" s="140" t="s">
        <v>27</v>
      </c>
      <c r="G165" s="139" t="s">
        <v>28</v>
      </c>
      <c r="H165" s="149">
        <v>6</v>
      </c>
      <c r="I165" s="141">
        <v>42.7896</v>
      </c>
      <c r="J165" s="129">
        <v>1253</v>
      </c>
      <c r="K165" s="129">
        <f t="shared" si="5"/>
        <v>53615.368799999997</v>
      </c>
      <c r="L165" s="129"/>
      <c r="M165" s="129">
        <f>+J165*I165</f>
        <v>53615.368799999997</v>
      </c>
      <c r="N165" s="129"/>
      <c r="O165" s="129"/>
      <c r="P165" s="129"/>
    </row>
    <row r="166" spans="1:16" s="15" customFormat="1" x14ac:dyDescent="0.2">
      <c r="A166" s="1" t="s">
        <v>1385</v>
      </c>
      <c r="B166" s="1" t="s">
        <v>1386</v>
      </c>
      <c r="C166" s="1" t="s">
        <v>28</v>
      </c>
      <c r="D166" s="138" t="s">
        <v>304</v>
      </c>
      <c r="E166" s="139" t="s">
        <v>30</v>
      </c>
      <c r="F166" s="140" t="s">
        <v>31</v>
      </c>
      <c r="G166" s="139" t="s">
        <v>28</v>
      </c>
      <c r="H166" s="141">
        <v>0.41</v>
      </c>
      <c r="I166" s="141">
        <v>2.9239999999999999</v>
      </c>
      <c r="J166" s="129">
        <v>106655</v>
      </c>
      <c r="K166" s="129">
        <f t="shared" si="5"/>
        <v>311859.21999999997</v>
      </c>
      <c r="L166" s="129"/>
      <c r="M166" s="129">
        <f>+J166*I166</f>
        <v>311859.21999999997</v>
      </c>
      <c r="N166" s="129"/>
      <c r="O166" s="129"/>
      <c r="P166" s="129"/>
    </row>
    <row r="167" spans="1:16" s="16" customFormat="1" ht="24" x14ac:dyDescent="0.2">
      <c r="A167" s="1" t="s">
        <v>1385</v>
      </c>
      <c r="B167" s="1" t="s">
        <v>1386</v>
      </c>
      <c r="C167" s="1" t="s">
        <v>1399</v>
      </c>
      <c r="D167" s="142" t="s">
        <v>305</v>
      </c>
      <c r="E167" s="143" t="s">
        <v>306</v>
      </c>
      <c r="F167" s="144" t="s">
        <v>307</v>
      </c>
      <c r="G167" s="143" t="s">
        <v>42</v>
      </c>
      <c r="H167" s="145">
        <v>190</v>
      </c>
      <c r="I167" s="146">
        <v>1355.0039999999999</v>
      </c>
      <c r="J167" s="129">
        <v>100</v>
      </c>
      <c r="K167" s="129">
        <f t="shared" si="5"/>
        <v>135500.4</v>
      </c>
      <c r="L167" s="129"/>
      <c r="M167" s="129"/>
      <c r="N167" s="129">
        <f t="shared" ref="N167:N175" si="6">+I167*J167</f>
        <v>135500.4</v>
      </c>
      <c r="O167" s="129"/>
      <c r="P167" s="129"/>
    </row>
    <row r="168" spans="1:16" s="16" customFormat="1" ht="24" x14ac:dyDescent="0.2">
      <c r="A168" s="1" t="s">
        <v>1385</v>
      </c>
      <c r="B168" s="1" t="s">
        <v>1386</v>
      </c>
      <c r="C168" s="1" t="s">
        <v>1399</v>
      </c>
      <c r="D168" s="142" t="s">
        <v>308</v>
      </c>
      <c r="E168" s="143" t="s">
        <v>309</v>
      </c>
      <c r="F168" s="144" t="s">
        <v>310</v>
      </c>
      <c r="G168" s="143" t="s">
        <v>311</v>
      </c>
      <c r="H168" s="146">
        <v>0.5</v>
      </c>
      <c r="I168" s="146">
        <v>3.5657999999999999</v>
      </c>
      <c r="J168" s="129">
        <v>100000</v>
      </c>
      <c r="K168" s="129">
        <f t="shared" si="5"/>
        <v>356580</v>
      </c>
      <c r="L168" s="129"/>
      <c r="M168" s="129"/>
      <c r="N168" s="129">
        <f t="shared" si="6"/>
        <v>356580</v>
      </c>
      <c r="O168" s="129"/>
      <c r="P168" s="129"/>
    </row>
    <row r="169" spans="1:16" s="16" customFormat="1" x14ac:dyDescent="0.2">
      <c r="A169" s="1" t="s">
        <v>1385</v>
      </c>
      <c r="B169" s="1" t="s">
        <v>1386</v>
      </c>
      <c r="C169" s="1" t="s">
        <v>1399</v>
      </c>
      <c r="D169" s="142" t="s">
        <v>312</v>
      </c>
      <c r="E169" s="143" t="s">
        <v>313</v>
      </c>
      <c r="F169" s="144" t="s">
        <v>314</v>
      </c>
      <c r="G169" s="143" t="s">
        <v>107</v>
      </c>
      <c r="H169" s="146">
        <v>2.5000000000000001E-2</v>
      </c>
      <c r="I169" s="146">
        <v>0.17829</v>
      </c>
      <c r="J169" s="129">
        <v>1150000</v>
      </c>
      <c r="K169" s="129">
        <f t="shared" si="5"/>
        <v>205033.5</v>
      </c>
      <c r="L169" s="129"/>
      <c r="M169" s="129"/>
      <c r="N169" s="129">
        <f t="shared" si="6"/>
        <v>205033.5</v>
      </c>
      <c r="O169" s="129"/>
      <c r="P169" s="129"/>
    </row>
    <row r="170" spans="1:16" s="16" customFormat="1" x14ac:dyDescent="0.2">
      <c r="A170" s="1" t="s">
        <v>1385</v>
      </c>
      <c r="B170" s="1" t="s">
        <v>1386</v>
      </c>
      <c r="C170" s="1" t="s">
        <v>1399</v>
      </c>
      <c r="D170" s="142" t="s">
        <v>315</v>
      </c>
      <c r="E170" s="143" t="s">
        <v>316</v>
      </c>
      <c r="F170" s="144" t="s">
        <v>317</v>
      </c>
      <c r="G170" s="143" t="s">
        <v>38</v>
      </c>
      <c r="H170" s="145">
        <v>105</v>
      </c>
      <c r="I170" s="146">
        <v>748.81799999999998</v>
      </c>
      <c r="J170" s="129">
        <v>16250</v>
      </c>
      <c r="K170" s="129">
        <f t="shared" si="5"/>
        <v>12168292.5</v>
      </c>
      <c r="L170" s="129"/>
      <c r="M170" s="129"/>
      <c r="N170" s="129">
        <f t="shared" si="6"/>
        <v>12168292.5</v>
      </c>
      <c r="O170" s="129"/>
      <c r="P170" s="129"/>
    </row>
    <row r="171" spans="1:16" s="16" customFormat="1" x14ac:dyDescent="0.2">
      <c r="A171" s="1" t="s">
        <v>1385</v>
      </c>
      <c r="B171" s="1" t="s">
        <v>1386</v>
      </c>
      <c r="C171" s="1" t="s">
        <v>1399</v>
      </c>
      <c r="D171" s="142" t="s">
        <v>318</v>
      </c>
      <c r="E171" s="143" t="s">
        <v>319</v>
      </c>
      <c r="F171" s="144" t="s">
        <v>320</v>
      </c>
      <c r="G171" s="143" t="s">
        <v>63</v>
      </c>
      <c r="H171" s="146">
        <v>0.75</v>
      </c>
      <c r="I171" s="146">
        <v>5.3487</v>
      </c>
      <c r="J171" s="129">
        <v>15000</v>
      </c>
      <c r="K171" s="129">
        <f t="shared" si="5"/>
        <v>80230.5</v>
      </c>
      <c r="L171" s="129"/>
      <c r="M171" s="129"/>
      <c r="N171" s="129">
        <f t="shared" si="6"/>
        <v>80230.5</v>
      </c>
      <c r="O171" s="129"/>
      <c r="P171" s="129"/>
    </row>
    <row r="172" spans="1:16" s="16" customFormat="1" ht="24" x14ac:dyDescent="0.2">
      <c r="A172" s="1" t="s">
        <v>1385</v>
      </c>
      <c r="B172" s="1" t="s">
        <v>1386</v>
      </c>
      <c r="C172" s="1" t="s">
        <v>1399</v>
      </c>
      <c r="D172" s="142" t="s">
        <v>321</v>
      </c>
      <c r="E172" s="143" t="s">
        <v>322</v>
      </c>
      <c r="F172" s="144" t="s">
        <v>323</v>
      </c>
      <c r="G172" s="143" t="s">
        <v>69</v>
      </c>
      <c r="H172" s="145">
        <v>70</v>
      </c>
      <c r="I172" s="146">
        <v>499.21199999999999</v>
      </c>
      <c r="J172" s="129">
        <v>5000</v>
      </c>
      <c r="K172" s="129">
        <f t="shared" si="5"/>
        <v>2496060</v>
      </c>
      <c r="L172" s="129"/>
      <c r="M172" s="129"/>
      <c r="N172" s="129">
        <f t="shared" si="6"/>
        <v>2496060</v>
      </c>
      <c r="O172" s="129"/>
      <c r="P172" s="129"/>
    </row>
    <row r="173" spans="1:16" s="16" customFormat="1" ht="24" x14ac:dyDescent="0.2">
      <c r="A173" s="1" t="s">
        <v>1385</v>
      </c>
      <c r="B173" s="1" t="s">
        <v>1386</v>
      </c>
      <c r="C173" s="1" t="s">
        <v>1399</v>
      </c>
      <c r="D173" s="142" t="s">
        <v>324</v>
      </c>
      <c r="E173" s="143" t="s">
        <v>325</v>
      </c>
      <c r="F173" s="144" t="s">
        <v>326</v>
      </c>
      <c r="G173" s="143" t="s">
        <v>69</v>
      </c>
      <c r="H173" s="145">
        <v>200</v>
      </c>
      <c r="I173" s="146">
        <v>1426.32</v>
      </c>
      <c r="J173" s="129">
        <v>5500</v>
      </c>
      <c r="K173" s="129">
        <f t="shared" si="5"/>
        <v>7844760</v>
      </c>
      <c r="L173" s="129"/>
      <c r="M173" s="129"/>
      <c r="N173" s="129">
        <f t="shared" si="6"/>
        <v>7844760</v>
      </c>
      <c r="O173" s="129"/>
      <c r="P173" s="129"/>
    </row>
    <row r="174" spans="1:16" s="16" customFormat="1" ht="24" x14ac:dyDescent="0.2">
      <c r="A174" s="1" t="s">
        <v>1385</v>
      </c>
      <c r="B174" s="1" t="s">
        <v>1386</v>
      </c>
      <c r="C174" s="1" t="s">
        <v>1399</v>
      </c>
      <c r="D174" s="142" t="s">
        <v>327</v>
      </c>
      <c r="E174" s="143" t="s">
        <v>328</v>
      </c>
      <c r="F174" s="144" t="s">
        <v>329</v>
      </c>
      <c r="G174" s="143" t="s">
        <v>42</v>
      </c>
      <c r="H174" s="145">
        <v>70</v>
      </c>
      <c r="I174" s="146">
        <v>499.21199999999999</v>
      </c>
      <c r="J174" s="129">
        <v>1000</v>
      </c>
      <c r="K174" s="129">
        <f t="shared" si="5"/>
        <v>499212</v>
      </c>
      <c r="L174" s="129"/>
      <c r="M174" s="129"/>
      <c r="N174" s="129">
        <f t="shared" si="6"/>
        <v>499212</v>
      </c>
      <c r="O174" s="129"/>
      <c r="P174" s="129"/>
    </row>
    <row r="175" spans="1:16" s="16" customFormat="1" ht="24" x14ac:dyDescent="0.2">
      <c r="A175" s="1" t="s">
        <v>1385</v>
      </c>
      <c r="B175" s="1" t="s">
        <v>1386</v>
      </c>
      <c r="C175" s="1" t="s">
        <v>1399</v>
      </c>
      <c r="D175" s="142" t="s">
        <v>330</v>
      </c>
      <c r="E175" s="143" t="s">
        <v>331</v>
      </c>
      <c r="F175" s="144" t="s">
        <v>332</v>
      </c>
      <c r="G175" s="143" t="s">
        <v>311</v>
      </c>
      <c r="H175" s="146">
        <v>1.4</v>
      </c>
      <c r="I175" s="146">
        <v>9.9841999999999995</v>
      </c>
      <c r="J175" s="129">
        <v>150000</v>
      </c>
      <c r="K175" s="129">
        <f t="shared" si="5"/>
        <v>1497630</v>
      </c>
      <c r="L175" s="129"/>
      <c r="M175" s="129"/>
      <c r="N175" s="129">
        <f t="shared" si="6"/>
        <v>1497630</v>
      </c>
      <c r="O175" s="129"/>
      <c r="P175" s="129"/>
    </row>
    <row r="176" spans="1:16" s="1" customFormat="1" x14ac:dyDescent="0.2">
      <c r="A176" s="1" t="s">
        <v>1385</v>
      </c>
      <c r="B176" s="1" t="s">
        <v>1386</v>
      </c>
      <c r="C176" s="1" t="s">
        <v>1399</v>
      </c>
      <c r="D176" s="130" t="s">
        <v>333</v>
      </c>
      <c r="E176" s="131" t="s">
        <v>334</v>
      </c>
      <c r="F176" s="131" t="s">
        <v>335</v>
      </c>
      <c r="G176" s="132" t="s">
        <v>38</v>
      </c>
      <c r="H176" s="133">
        <v>713.16</v>
      </c>
      <c r="I176" s="133">
        <f>+H176</f>
        <v>713.16</v>
      </c>
      <c r="J176" s="129">
        <v>43299</v>
      </c>
      <c r="K176" s="129">
        <f t="shared" si="5"/>
        <v>30879114.84</v>
      </c>
      <c r="L176" s="129"/>
      <c r="M176" s="129"/>
      <c r="N176" s="129">
        <f>+J176*I176</f>
        <v>30879114.84</v>
      </c>
      <c r="O176" s="129"/>
      <c r="P176" s="129"/>
    </row>
    <row r="177" spans="1:16" s="1" customFormat="1" ht="63.75" x14ac:dyDescent="0.2">
      <c r="A177" s="1" t="s">
        <v>1385</v>
      </c>
      <c r="B177" s="1" t="s">
        <v>1386</v>
      </c>
      <c r="C177" s="1" t="s">
        <v>1397</v>
      </c>
      <c r="D177" s="130" t="s">
        <v>336</v>
      </c>
      <c r="E177" s="131" t="s">
        <v>337</v>
      </c>
      <c r="F177" s="131" t="s">
        <v>338</v>
      </c>
      <c r="G177" s="132" t="s">
        <v>21</v>
      </c>
      <c r="H177" s="133">
        <v>7.1315999999999997</v>
      </c>
      <c r="I177" s="133"/>
      <c r="J177" s="129"/>
      <c r="K177" s="129"/>
      <c r="L177" s="129"/>
      <c r="M177" s="129"/>
      <c r="N177" s="129"/>
      <c r="O177" s="129"/>
      <c r="P177" s="129"/>
    </row>
    <row r="178" spans="1:16" s="14" customFormat="1" x14ac:dyDescent="0.2">
      <c r="A178" s="1" t="s">
        <v>1385</v>
      </c>
      <c r="B178" s="1" t="s">
        <v>1386</v>
      </c>
      <c r="C178" s="1" t="s">
        <v>24</v>
      </c>
      <c r="D178" s="134" t="s">
        <v>339</v>
      </c>
      <c r="E178" s="135" t="s">
        <v>18</v>
      </c>
      <c r="F178" s="136" t="s">
        <v>23</v>
      </c>
      <c r="G178" s="135" t="s">
        <v>24</v>
      </c>
      <c r="H178" s="147">
        <v>56</v>
      </c>
      <c r="I178" s="137">
        <v>399.36959999999999</v>
      </c>
      <c r="J178" s="129">
        <v>22914.53</v>
      </c>
      <c r="K178" s="129">
        <f>+J178*I178</f>
        <v>9151366.680288</v>
      </c>
      <c r="L178" s="129">
        <f>+I178*J178</f>
        <v>9151366.680288</v>
      </c>
      <c r="M178" s="129"/>
      <c r="N178" s="129"/>
      <c r="O178" s="129"/>
      <c r="P178" s="129"/>
    </row>
    <row r="179" spans="1:16" s="15" customFormat="1" x14ac:dyDescent="0.2">
      <c r="A179" s="1" t="s">
        <v>1385</v>
      </c>
      <c r="B179" s="1" t="s">
        <v>1386</v>
      </c>
      <c r="C179" s="1" t="s">
        <v>28</v>
      </c>
      <c r="D179" s="138" t="s">
        <v>340</v>
      </c>
      <c r="E179" s="139" t="s">
        <v>213</v>
      </c>
      <c r="F179" s="140" t="s">
        <v>214</v>
      </c>
      <c r="G179" s="139" t="s">
        <v>28</v>
      </c>
      <c r="H179" s="141">
        <v>1.67</v>
      </c>
      <c r="I179" s="141">
        <v>11.909800000000001</v>
      </c>
      <c r="J179" s="129">
        <v>1399</v>
      </c>
      <c r="K179" s="129">
        <f>+J179*I179</f>
        <v>16661.8102</v>
      </c>
      <c r="L179" s="129"/>
      <c r="M179" s="129">
        <f>+J179*I179</f>
        <v>16661.8102</v>
      </c>
      <c r="N179" s="129"/>
      <c r="O179" s="129"/>
      <c r="P179" s="129"/>
    </row>
    <row r="180" spans="1:16" s="16" customFormat="1" x14ac:dyDescent="0.2">
      <c r="A180" s="1" t="s">
        <v>1385</v>
      </c>
      <c r="B180" s="1" t="s">
        <v>1386</v>
      </c>
      <c r="C180" s="1" t="s">
        <v>1399</v>
      </c>
      <c r="D180" s="142" t="s">
        <v>341</v>
      </c>
      <c r="E180" s="143" t="s">
        <v>216</v>
      </c>
      <c r="F180" s="144" t="s">
        <v>217</v>
      </c>
      <c r="G180" s="143" t="s">
        <v>107</v>
      </c>
      <c r="H180" s="146">
        <v>0.82499999999999996</v>
      </c>
      <c r="I180" s="146">
        <v>5.8836000000000004</v>
      </c>
      <c r="J180" s="129">
        <v>1150000</v>
      </c>
      <c r="K180" s="129">
        <f>+J180*I180</f>
        <v>6766140</v>
      </c>
      <c r="L180" s="129"/>
      <c r="M180" s="129"/>
      <c r="N180" s="129">
        <f>+I180*J180</f>
        <v>6766140</v>
      </c>
      <c r="O180" s="129"/>
      <c r="P180" s="129"/>
    </row>
    <row r="181" spans="1:16" s="16" customFormat="1" x14ac:dyDescent="0.2">
      <c r="A181" s="1" t="s">
        <v>1385</v>
      </c>
      <c r="B181" s="1" t="s">
        <v>1386</v>
      </c>
      <c r="C181" s="1" t="s">
        <v>1399</v>
      </c>
      <c r="D181" s="142" t="s">
        <v>342</v>
      </c>
      <c r="E181" s="143" t="s">
        <v>219</v>
      </c>
      <c r="F181" s="144" t="s">
        <v>220</v>
      </c>
      <c r="G181" s="143" t="s">
        <v>107</v>
      </c>
      <c r="H181" s="146">
        <v>1.7999999999999999E-2</v>
      </c>
      <c r="I181" s="146">
        <v>0.12836900000000001</v>
      </c>
      <c r="J181" s="129">
        <v>12000000</v>
      </c>
      <c r="K181" s="129">
        <f>+J181*I181</f>
        <v>1540428.0000000002</v>
      </c>
      <c r="L181" s="129"/>
      <c r="M181" s="129"/>
      <c r="N181" s="129">
        <f>+I181*J181</f>
        <v>1540428.0000000002</v>
      </c>
      <c r="O181" s="129"/>
      <c r="P181" s="129"/>
    </row>
    <row r="182" spans="1:16" s="1" customFormat="1" ht="63.75" x14ac:dyDescent="0.2">
      <c r="A182" s="1" t="s">
        <v>1385</v>
      </c>
      <c r="B182" s="1" t="s">
        <v>1386</v>
      </c>
      <c r="C182" s="1" t="s">
        <v>1397</v>
      </c>
      <c r="D182" s="130" t="s">
        <v>343</v>
      </c>
      <c r="E182" s="131" t="s">
        <v>344</v>
      </c>
      <c r="F182" s="131" t="s">
        <v>345</v>
      </c>
      <c r="G182" s="132" t="s">
        <v>21</v>
      </c>
      <c r="H182" s="133">
        <v>-7.1315999999999997</v>
      </c>
      <c r="I182" s="133"/>
      <c r="J182" s="129"/>
      <c r="K182" s="129"/>
      <c r="L182" s="129"/>
      <c r="M182" s="129"/>
      <c r="N182" s="129"/>
      <c r="O182" s="129"/>
      <c r="P182" s="129"/>
    </row>
    <row r="183" spans="1:16" s="14" customFormat="1" x14ac:dyDescent="0.2">
      <c r="A183" s="1" t="s">
        <v>1385</v>
      </c>
      <c r="B183" s="1" t="s">
        <v>1386</v>
      </c>
      <c r="C183" s="1" t="s">
        <v>24</v>
      </c>
      <c r="D183" s="134" t="s">
        <v>346</v>
      </c>
      <c r="E183" s="135" t="s">
        <v>18</v>
      </c>
      <c r="F183" s="136" t="s">
        <v>23</v>
      </c>
      <c r="G183" s="135" t="s">
        <v>24</v>
      </c>
      <c r="H183" s="147">
        <v>40</v>
      </c>
      <c r="I183" s="137">
        <v>-285.26400000000001</v>
      </c>
      <c r="J183" s="129">
        <v>22914.53</v>
      </c>
      <c r="K183" s="129">
        <f>+J183*I183</f>
        <v>-6536690.4859199999</v>
      </c>
      <c r="L183" s="129">
        <f>+I183*J183</f>
        <v>-6536690.4859199999</v>
      </c>
      <c r="M183" s="129"/>
      <c r="N183" s="129"/>
      <c r="O183" s="129"/>
      <c r="P183" s="129"/>
    </row>
    <row r="184" spans="1:16" s="15" customFormat="1" x14ac:dyDescent="0.2">
      <c r="A184" s="1" t="s">
        <v>1385</v>
      </c>
      <c r="B184" s="1" t="s">
        <v>1386</v>
      </c>
      <c r="C184" s="1" t="s">
        <v>28</v>
      </c>
      <c r="D184" s="138" t="s">
        <v>347</v>
      </c>
      <c r="E184" s="139" t="s">
        <v>213</v>
      </c>
      <c r="F184" s="140" t="s">
        <v>214</v>
      </c>
      <c r="G184" s="139" t="s">
        <v>28</v>
      </c>
      <c r="H184" s="141">
        <v>1.3360000000000001</v>
      </c>
      <c r="I184" s="141">
        <v>-9.5277999999999992</v>
      </c>
      <c r="J184" s="129">
        <v>1399</v>
      </c>
      <c r="K184" s="129">
        <f>+J184*I184</f>
        <v>-13329.392199999998</v>
      </c>
      <c r="L184" s="129"/>
      <c r="M184" s="129">
        <f>+J184*I184</f>
        <v>-13329.392199999998</v>
      </c>
      <c r="N184" s="129"/>
      <c r="O184" s="129"/>
      <c r="P184" s="129"/>
    </row>
    <row r="185" spans="1:16" s="16" customFormat="1" x14ac:dyDescent="0.2">
      <c r="A185" s="1" t="s">
        <v>1385</v>
      </c>
      <c r="B185" s="1" t="s">
        <v>1386</v>
      </c>
      <c r="C185" s="1" t="s">
        <v>1399</v>
      </c>
      <c r="D185" s="142" t="s">
        <v>348</v>
      </c>
      <c r="E185" s="143" t="s">
        <v>216</v>
      </c>
      <c r="F185" s="144" t="s">
        <v>217</v>
      </c>
      <c r="G185" s="143" t="s">
        <v>107</v>
      </c>
      <c r="H185" s="146">
        <v>0.66</v>
      </c>
      <c r="I185" s="146">
        <v>-4.7069000000000001</v>
      </c>
      <c r="J185" s="129">
        <v>1150000</v>
      </c>
      <c r="K185" s="129">
        <f>+J185*I185</f>
        <v>-5412935</v>
      </c>
      <c r="L185" s="129"/>
      <c r="M185" s="129"/>
      <c r="N185" s="129">
        <f>+I185*J185</f>
        <v>-5412935</v>
      </c>
      <c r="O185" s="129"/>
      <c r="P185" s="129"/>
    </row>
    <row r="186" spans="1:16" s="1" customFormat="1" ht="63.75" x14ac:dyDescent="0.2">
      <c r="A186" s="1" t="s">
        <v>1385</v>
      </c>
      <c r="B186" s="1" t="s">
        <v>1386</v>
      </c>
      <c r="C186" s="1" t="s">
        <v>1397</v>
      </c>
      <c r="D186" s="130" t="s">
        <v>349</v>
      </c>
      <c r="E186" s="131" t="s">
        <v>238</v>
      </c>
      <c r="F186" s="131" t="s">
        <v>239</v>
      </c>
      <c r="G186" s="132" t="s">
        <v>21</v>
      </c>
      <c r="H186" s="133">
        <v>48.459600000000002</v>
      </c>
      <c r="I186" s="133"/>
      <c r="J186" s="129"/>
      <c r="K186" s="129"/>
      <c r="L186" s="129"/>
      <c r="M186" s="129"/>
      <c r="N186" s="129"/>
      <c r="O186" s="129"/>
      <c r="P186" s="129"/>
    </row>
    <row r="187" spans="1:16" s="14" customFormat="1" x14ac:dyDescent="0.2">
      <c r="A187" s="1" t="s">
        <v>1385</v>
      </c>
      <c r="B187" s="1" t="s">
        <v>1386</v>
      </c>
      <c r="C187" s="1" t="s">
        <v>24</v>
      </c>
      <c r="D187" s="134" t="s">
        <v>350</v>
      </c>
      <c r="E187" s="135" t="s">
        <v>18</v>
      </c>
      <c r="F187" s="136" t="s">
        <v>23</v>
      </c>
      <c r="G187" s="135" t="s">
        <v>24</v>
      </c>
      <c r="H187" s="137">
        <v>15.41</v>
      </c>
      <c r="I187" s="137">
        <v>746.76239999999996</v>
      </c>
      <c r="J187" s="129">
        <v>22914.53</v>
      </c>
      <c r="K187" s="129">
        <f t="shared" ref="K187:K192" si="7">+J187*I187</f>
        <v>17111709.417671997</v>
      </c>
      <c r="L187" s="129">
        <f>+I187*J187</f>
        <v>17111709.417671997</v>
      </c>
      <c r="M187" s="129"/>
      <c r="N187" s="129"/>
      <c r="O187" s="129"/>
      <c r="P187" s="129"/>
    </row>
    <row r="188" spans="1:16" s="15" customFormat="1" x14ac:dyDescent="0.2">
      <c r="A188" s="1" t="s">
        <v>1385</v>
      </c>
      <c r="B188" s="1" t="s">
        <v>1386</v>
      </c>
      <c r="C188" s="1" t="s">
        <v>28</v>
      </c>
      <c r="D188" s="138" t="s">
        <v>351</v>
      </c>
      <c r="E188" s="139" t="s">
        <v>242</v>
      </c>
      <c r="F188" s="140" t="s">
        <v>243</v>
      </c>
      <c r="G188" s="139" t="s">
        <v>28</v>
      </c>
      <c r="H188" s="141">
        <v>7.87</v>
      </c>
      <c r="I188" s="141">
        <v>381.37709999999998</v>
      </c>
      <c r="J188" s="129">
        <v>1053</v>
      </c>
      <c r="K188" s="129">
        <f t="shared" si="7"/>
        <v>401590.08629999997</v>
      </c>
      <c r="L188" s="129"/>
      <c r="M188" s="129">
        <f>+J188*I188</f>
        <v>401590.08629999997</v>
      </c>
      <c r="N188" s="129"/>
      <c r="O188" s="129"/>
      <c r="P188" s="129"/>
    </row>
    <row r="189" spans="1:16" s="16" customFormat="1" x14ac:dyDescent="0.2">
      <c r="A189" s="1" t="s">
        <v>1385</v>
      </c>
      <c r="B189" s="1" t="s">
        <v>1386</v>
      </c>
      <c r="C189" s="1" t="s">
        <v>1399</v>
      </c>
      <c r="D189" s="142" t="s">
        <v>352</v>
      </c>
      <c r="E189" s="143" t="s">
        <v>245</v>
      </c>
      <c r="F189" s="144" t="s">
        <v>246</v>
      </c>
      <c r="G189" s="143" t="s">
        <v>107</v>
      </c>
      <c r="H189" s="145">
        <v>1</v>
      </c>
      <c r="I189" s="146">
        <v>48.459600000000002</v>
      </c>
      <c r="J189" s="129">
        <v>1150000</v>
      </c>
      <c r="K189" s="129">
        <f t="shared" si="7"/>
        <v>55728540</v>
      </c>
      <c r="L189" s="129"/>
      <c r="M189" s="129"/>
      <c r="N189" s="129">
        <f>+I189*J189</f>
        <v>55728540</v>
      </c>
      <c r="O189" s="129"/>
      <c r="P189" s="129"/>
    </row>
    <row r="190" spans="1:16" s="16" customFormat="1" x14ac:dyDescent="0.2">
      <c r="A190" s="1" t="s">
        <v>1385</v>
      </c>
      <c r="B190" s="1" t="s">
        <v>1386</v>
      </c>
      <c r="C190" s="1" t="s">
        <v>1399</v>
      </c>
      <c r="D190" s="142" t="s">
        <v>353</v>
      </c>
      <c r="E190" s="143" t="s">
        <v>248</v>
      </c>
      <c r="F190" s="144" t="s">
        <v>249</v>
      </c>
      <c r="G190" s="143" t="s">
        <v>250</v>
      </c>
      <c r="H190" s="145">
        <v>15</v>
      </c>
      <c r="I190" s="146">
        <v>726.89400000000001</v>
      </c>
      <c r="J190" s="129">
        <v>12000</v>
      </c>
      <c r="K190" s="129">
        <f t="shared" si="7"/>
        <v>8722728</v>
      </c>
      <c r="L190" s="129"/>
      <c r="M190" s="129"/>
      <c r="N190" s="129">
        <f>+I190*J190</f>
        <v>8722728</v>
      </c>
      <c r="O190" s="129"/>
      <c r="P190" s="129"/>
    </row>
    <row r="191" spans="1:16" s="16" customFormat="1" x14ac:dyDescent="0.2">
      <c r="A191" s="1" t="s">
        <v>1385</v>
      </c>
      <c r="B191" s="1" t="s">
        <v>1386</v>
      </c>
      <c r="C191" s="1" t="s">
        <v>1399</v>
      </c>
      <c r="D191" s="142" t="s">
        <v>354</v>
      </c>
      <c r="E191" s="143" t="s">
        <v>252</v>
      </c>
      <c r="F191" s="144" t="s">
        <v>253</v>
      </c>
      <c r="G191" s="143" t="s">
        <v>69</v>
      </c>
      <c r="H191" s="145">
        <v>230</v>
      </c>
      <c r="I191" s="146">
        <v>11145.708000000001</v>
      </c>
      <c r="J191" s="129">
        <v>500</v>
      </c>
      <c r="K191" s="129">
        <f t="shared" si="7"/>
        <v>5572854</v>
      </c>
      <c r="L191" s="129"/>
      <c r="M191" s="129"/>
      <c r="N191" s="129">
        <f>+I191*J191</f>
        <v>5572854</v>
      </c>
      <c r="O191" s="129"/>
      <c r="P191" s="129"/>
    </row>
    <row r="192" spans="1:16" s="16" customFormat="1" x14ac:dyDescent="0.2">
      <c r="A192" s="1" t="s">
        <v>1385</v>
      </c>
      <c r="B192" s="1" t="s">
        <v>1386</v>
      </c>
      <c r="C192" s="1" t="s">
        <v>1399</v>
      </c>
      <c r="D192" s="142" t="s">
        <v>355</v>
      </c>
      <c r="E192" s="143" t="s">
        <v>255</v>
      </c>
      <c r="F192" s="144" t="s">
        <v>256</v>
      </c>
      <c r="G192" s="143" t="s">
        <v>69</v>
      </c>
      <c r="H192" s="145">
        <v>43</v>
      </c>
      <c r="I192" s="146">
        <v>2083.7628</v>
      </c>
      <c r="J192" s="129">
        <v>500</v>
      </c>
      <c r="K192" s="129">
        <f t="shared" si="7"/>
        <v>1041881.4</v>
      </c>
      <c r="L192" s="129"/>
      <c r="M192" s="129"/>
      <c r="N192" s="129">
        <f>+I192*J192</f>
        <v>1041881.4</v>
      </c>
      <c r="O192" s="129"/>
      <c r="P192" s="129"/>
    </row>
    <row r="193" spans="1:16" s="1" customFormat="1" ht="38.25" x14ac:dyDescent="0.2">
      <c r="A193" s="1" t="s">
        <v>1385</v>
      </c>
      <c r="B193" s="1" t="s">
        <v>1386</v>
      </c>
      <c r="C193" s="1" t="s">
        <v>1397</v>
      </c>
      <c r="D193" s="130" t="s">
        <v>356</v>
      </c>
      <c r="E193" s="131" t="s">
        <v>274</v>
      </c>
      <c r="F193" s="131" t="s">
        <v>275</v>
      </c>
      <c r="G193" s="132" t="s">
        <v>21</v>
      </c>
      <c r="H193" s="133">
        <v>55.591200000000001</v>
      </c>
      <c r="I193" s="133"/>
      <c r="J193" s="129"/>
      <c r="K193" s="129"/>
      <c r="L193" s="129"/>
      <c r="M193" s="129"/>
      <c r="N193" s="129"/>
      <c r="O193" s="129"/>
      <c r="P193" s="129"/>
    </row>
    <row r="194" spans="1:16" s="14" customFormat="1" x14ac:dyDescent="0.2">
      <c r="A194" s="1" t="s">
        <v>1385</v>
      </c>
      <c r="B194" s="1" t="s">
        <v>1386</v>
      </c>
      <c r="C194" s="1" t="s">
        <v>24</v>
      </c>
      <c r="D194" s="134" t="s">
        <v>357</v>
      </c>
      <c r="E194" s="135" t="s">
        <v>18</v>
      </c>
      <c r="F194" s="136" t="s">
        <v>23</v>
      </c>
      <c r="G194" s="135" t="s">
        <v>24</v>
      </c>
      <c r="H194" s="137">
        <v>25.41</v>
      </c>
      <c r="I194" s="137">
        <v>1412.5724</v>
      </c>
      <c r="J194" s="129">
        <v>22914.53</v>
      </c>
      <c r="K194" s="129">
        <f>+J194*I194</f>
        <v>32368432.636971999</v>
      </c>
      <c r="L194" s="129">
        <f>+I194*J194</f>
        <v>32368432.636971999</v>
      </c>
      <c r="M194" s="129"/>
      <c r="N194" s="129"/>
      <c r="O194" s="129"/>
      <c r="P194" s="129"/>
    </row>
    <row r="195" spans="1:16" s="15" customFormat="1" x14ac:dyDescent="0.2">
      <c r="A195" s="1" t="s">
        <v>1385</v>
      </c>
      <c r="B195" s="1" t="s">
        <v>1386</v>
      </c>
      <c r="C195" s="1" t="s">
        <v>28</v>
      </c>
      <c r="D195" s="138" t="s">
        <v>358</v>
      </c>
      <c r="E195" s="139" t="s">
        <v>193</v>
      </c>
      <c r="F195" s="140" t="s">
        <v>31</v>
      </c>
      <c r="G195" s="139" t="s">
        <v>28</v>
      </c>
      <c r="H195" s="141">
        <v>0.1</v>
      </c>
      <c r="I195" s="141">
        <v>5.5590999999999999</v>
      </c>
      <c r="J195" s="129">
        <v>106655</v>
      </c>
      <c r="K195" s="129">
        <f>+J195*I195</f>
        <v>592905.81050000002</v>
      </c>
      <c r="L195" s="129"/>
      <c r="M195" s="129">
        <f>+J195*I195</f>
        <v>592905.81050000002</v>
      </c>
      <c r="N195" s="129"/>
      <c r="O195" s="129"/>
      <c r="P195" s="129"/>
    </row>
    <row r="196" spans="1:16" s="16" customFormat="1" x14ac:dyDescent="0.2">
      <c r="A196" s="1" t="s">
        <v>1385</v>
      </c>
      <c r="B196" s="1" t="s">
        <v>1386</v>
      </c>
      <c r="C196" s="1" t="s">
        <v>1399</v>
      </c>
      <c r="D196" s="142" t="s">
        <v>359</v>
      </c>
      <c r="E196" s="143" t="s">
        <v>233</v>
      </c>
      <c r="F196" s="144" t="s">
        <v>234</v>
      </c>
      <c r="G196" s="143" t="s">
        <v>107</v>
      </c>
      <c r="H196" s="146">
        <v>6.3E-2</v>
      </c>
      <c r="I196" s="146">
        <v>3.5022000000000002</v>
      </c>
      <c r="J196" s="129">
        <v>8009000</v>
      </c>
      <c r="K196" s="129">
        <f>+J196*I196</f>
        <v>28049119.800000001</v>
      </c>
      <c r="L196" s="129"/>
      <c r="M196" s="129"/>
      <c r="N196" s="129">
        <f>+I196*J196</f>
        <v>28049119.800000001</v>
      </c>
      <c r="O196" s="129"/>
      <c r="P196" s="129"/>
    </row>
    <row r="197" spans="1:16" s="16" customFormat="1" x14ac:dyDescent="0.2">
      <c r="A197" s="1" t="s">
        <v>1385</v>
      </c>
      <c r="B197" s="1" t="s">
        <v>1386</v>
      </c>
      <c r="C197" s="1" t="s">
        <v>1399</v>
      </c>
      <c r="D197" s="142" t="s">
        <v>360</v>
      </c>
      <c r="E197" s="143" t="s">
        <v>201</v>
      </c>
      <c r="F197" s="144" t="s">
        <v>202</v>
      </c>
      <c r="G197" s="143" t="s">
        <v>107</v>
      </c>
      <c r="H197" s="146">
        <v>5.0000000000000001E-3</v>
      </c>
      <c r="I197" s="146">
        <v>0.27795599999999998</v>
      </c>
      <c r="J197" s="129">
        <v>1150000</v>
      </c>
      <c r="K197" s="129">
        <f>+J197*I197</f>
        <v>319649.39999999997</v>
      </c>
      <c r="L197" s="129"/>
      <c r="M197" s="129"/>
      <c r="N197" s="129">
        <f>+I197*J197</f>
        <v>319649.39999999997</v>
      </c>
      <c r="O197" s="129"/>
      <c r="P197" s="129"/>
    </row>
    <row r="198" spans="1:16" s="16" customFormat="1" x14ac:dyDescent="0.2">
      <c r="A198" s="1" t="s">
        <v>1385</v>
      </c>
      <c r="B198" s="1" t="s">
        <v>1386</v>
      </c>
      <c r="C198" s="1" t="s">
        <v>1399</v>
      </c>
      <c r="D198" s="142" t="s">
        <v>361</v>
      </c>
      <c r="E198" s="143" t="s">
        <v>204</v>
      </c>
      <c r="F198" s="144" t="s">
        <v>205</v>
      </c>
      <c r="G198" s="143" t="s">
        <v>38</v>
      </c>
      <c r="H198" s="146">
        <v>0.84</v>
      </c>
      <c r="I198" s="146">
        <v>46.696599999999997</v>
      </c>
      <c r="J198" s="129">
        <v>15000</v>
      </c>
      <c r="K198" s="129">
        <f>+J198*I198</f>
        <v>700449</v>
      </c>
      <c r="L198" s="129"/>
      <c r="M198" s="129"/>
      <c r="N198" s="129">
        <f>+I198*J198</f>
        <v>700449</v>
      </c>
      <c r="O198" s="129"/>
      <c r="P198" s="129"/>
    </row>
    <row r="199" spans="1:16" s="1" customFormat="1" ht="51" x14ac:dyDescent="0.2">
      <c r="A199" s="1" t="s">
        <v>1385</v>
      </c>
      <c r="B199" s="1" t="s">
        <v>1386</v>
      </c>
      <c r="C199" s="1" t="s">
        <v>1397</v>
      </c>
      <c r="D199" s="130" t="s">
        <v>362</v>
      </c>
      <c r="E199" s="131" t="s">
        <v>258</v>
      </c>
      <c r="F199" s="131" t="s">
        <v>259</v>
      </c>
      <c r="G199" s="132" t="s">
        <v>21</v>
      </c>
      <c r="H199" s="133">
        <v>7.1052999999999997</v>
      </c>
      <c r="I199" s="133"/>
      <c r="J199" s="129"/>
      <c r="K199" s="129"/>
      <c r="L199" s="129"/>
      <c r="M199" s="129"/>
      <c r="N199" s="129"/>
      <c r="O199" s="129"/>
      <c r="P199" s="129"/>
    </row>
    <row r="200" spans="1:16" s="14" customFormat="1" x14ac:dyDescent="0.2">
      <c r="A200" s="1" t="s">
        <v>1385</v>
      </c>
      <c r="B200" s="1" t="s">
        <v>1386</v>
      </c>
      <c r="C200" s="1" t="s">
        <v>24</v>
      </c>
      <c r="D200" s="134" t="s">
        <v>363</v>
      </c>
      <c r="E200" s="135" t="s">
        <v>18</v>
      </c>
      <c r="F200" s="136" t="s">
        <v>23</v>
      </c>
      <c r="G200" s="135" t="s">
        <v>24</v>
      </c>
      <c r="H200" s="137">
        <v>159.66999999999999</v>
      </c>
      <c r="I200" s="137">
        <v>1134.5033000000001</v>
      </c>
      <c r="J200" s="129">
        <v>22914.53</v>
      </c>
      <c r="K200" s="129">
        <f>+J200*I200</f>
        <v>25996609.902949002</v>
      </c>
      <c r="L200" s="129">
        <f>+I200*J200</f>
        <v>25996609.902949002</v>
      </c>
      <c r="M200" s="129"/>
      <c r="N200" s="129"/>
      <c r="O200" s="129"/>
      <c r="P200" s="129"/>
    </row>
    <row r="201" spans="1:16" s="15" customFormat="1" x14ac:dyDescent="0.2">
      <c r="A201" s="1" t="s">
        <v>1385</v>
      </c>
      <c r="B201" s="1" t="s">
        <v>1386</v>
      </c>
      <c r="C201" s="1" t="s">
        <v>28</v>
      </c>
      <c r="D201" s="138" t="s">
        <v>364</v>
      </c>
      <c r="E201" s="139" t="s">
        <v>262</v>
      </c>
      <c r="F201" s="140" t="s">
        <v>263</v>
      </c>
      <c r="G201" s="139" t="s">
        <v>28</v>
      </c>
      <c r="H201" s="141">
        <v>0.08</v>
      </c>
      <c r="I201" s="141">
        <v>0.56842400000000004</v>
      </c>
      <c r="J201" s="129">
        <v>140201</v>
      </c>
      <c r="K201" s="129">
        <f>+J201*I201</f>
        <v>79693.613224000001</v>
      </c>
      <c r="L201" s="129"/>
      <c r="M201" s="129">
        <f>+J201*I201</f>
        <v>79693.613224000001</v>
      </c>
      <c r="N201" s="129"/>
      <c r="O201" s="129"/>
      <c r="P201" s="129"/>
    </row>
    <row r="202" spans="1:16" s="16" customFormat="1" x14ac:dyDescent="0.2">
      <c r="A202" s="1" t="s">
        <v>1385</v>
      </c>
      <c r="B202" s="1" t="s">
        <v>1386</v>
      </c>
      <c r="C202" s="1" t="s">
        <v>1399</v>
      </c>
      <c r="D202" s="142" t="s">
        <v>365</v>
      </c>
      <c r="E202" s="143" t="s">
        <v>265</v>
      </c>
      <c r="F202" s="144" t="s">
        <v>266</v>
      </c>
      <c r="G202" s="143" t="s">
        <v>107</v>
      </c>
      <c r="H202" s="146">
        <v>0.375</v>
      </c>
      <c r="I202" s="146">
        <v>2.6644999999999999</v>
      </c>
      <c r="J202" s="129">
        <v>1150000</v>
      </c>
      <c r="K202" s="129">
        <f>+J202*I202</f>
        <v>3064175</v>
      </c>
      <c r="L202" s="129"/>
      <c r="M202" s="129"/>
      <c r="N202" s="129">
        <f>+I202*J202</f>
        <v>3064175</v>
      </c>
      <c r="O202" s="129"/>
      <c r="P202" s="129"/>
    </row>
    <row r="203" spans="1:16" s="16" customFormat="1" x14ac:dyDescent="0.2">
      <c r="A203" s="1" t="s">
        <v>1385</v>
      </c>
      <c r="B203" s="1" t="s">
        <v>1386</v>
      </c>
      <c r="C203" s="1" t="s">
        <v>1399</v>
      </c>
      <c r="D203" s="142" t="s">
        <v>366</v>
      </c>
      <c r="E203" s="143" t="s">
        <v>268</v>
      </c>
      <c r="F203" s="144" t="s">
        <v>269</v>
      </c>
      <c r="G203" s="143" t="s">
        <v>38</v>
      </c>
      <c r="H203" s="145">
        <v>100</v>
      </c>
      <c r="I203" s="146">
        <v>710.53</v>
      </c>
      <c r="J203" s="129">
        <v>48000</v>
      </c>
      <c r="K203" s="129">
        <f>+J203*I203</f>
        <v>34105440</v>
      </c>
      <c r="L203" s="129"/>
      <c r="M203" s="129"/>
      <c r="N203" s="129">
        <f>+I203*J203</f>
        <v>34105440</v>
      </c>
      <c r="O203" s="129"/>
      <c r="P203" s="129"/>
    </row>
    <row r="204" spans="1:16" s="16" customFormat="1" x14ac:dyDescent="0.2">
      <c r="A204" s="1" t="s">
        <v>1385</v>
      </c>
      <c r="B204" s="1" t="s">
        <v>1386</v>
      </c>
      <c r="C204" s="1" t="s">
        <v>1399</v>
      </c>
      <c r="D204" s="142" t="s">
        <v>367</v>
      </c>
      <c r="E204" s="143" t="s">
        <v>271</v>
      </c>
      <c r="F204" s="144" t="s">
        <v>272</v>
      </c>
      <c r="G204" s="143" t="s">
        <v>107</v>
      </c>
      <c r="H204" s="146">
        <v>0.05</v>
      </c>
      <c r="I204" s="146">
        <v>0.355265</v>
      </c>
      <c r="J204" s="129">
        <v>1150000</v>
      </c>
      <c r="K204" s="129">
        <f>+J204*I204</f>
        <v>408554.75</v>
      </c>
      <c r="L204" s="129"/>
      <c r="M204" s="129"/>
      <c r="N204" s="129">
        <f>+I204*J204</f>
        <v>408554.75</v>
      </c>
      <c r="O204" s="129"/>
      <c r="P204" s="129"/>
    </row>
    <row r="205" spans="1:16" ht="15.75" x14ac:dyDescent="0.25">
      <c r="A205" s="1" t="s">
        <v>1385</v>
      </c>
      <c r="B205" s="1" t="s">
        <v>1386</v>
      </c>
      <c r="C205" s="1"/>
      <c r="D205" s="127" t="s">
        <v>368</v>
      </c>
      <c r="E205" s="128"/>
      <c r="F205" s="128"/>
      <c r="G205" s="128"/>
      <c r="H205" s="128"/>
      <c r="I205" s="128"/>
      <c r="J205" s="129"/>
      <c r="K205" s="129"/>
      <c r="L205" s="129"/>
      <c r="M205" s="129"/>
      <c r="N205" s="129"/>
      <c r="O205" s="129"/>
      <c r="P205" s="129"/>
    </row>
    <row r="206" spans="1:16" ht="15.75" x14ac:dyDescent="0.25">
      <c r="A206" s="1" t="s">
        <v>1385</v>
      </c>
      <c r="B206" s="1" t="s">
        <v>1386</v>
      </c>
      <c r="C206" s="1"/>
      <c r="D206" s="127" t="s">
        <v>369</v>
      </c>
      <c r="E206" s="128"/>
      <c r="F206" s="128"/>
      <c r="G206" s="128"/>
      <c r="H206" s="128"/>
      <c r="I206" s="128"/>
      <c r="J206" s="129"/>
      <c r="K206" s="129"/>
      <c r="L206" s="129"/>
      <c r="M206" s="129"/>
      <c r="N206" s="129"/>
      <c r="O206" s="129"/>
      <c r="P206" s="129"/>
    </row>
    <row r="207" spans="1:16" s="1" customFormat="1" ht="63.75" x14ac:dyDescent="0.2">
      <c r="A207" s="1" t="s">
        <v>1385</v>
      </c>
      <c r="B207" s="1" t="s">
        <v>1386</v>
      </c>
      <c r="C207" s="1" t="s">
        <v>1397</v>
      </c>
      <c r="D207" s="130" t="s">
        <v>370</v>
      </c>
      <c r="E207" s="131" t="s">
        <v>209</v>
      </c>
      <c r="F207" s="131" t="s">
        <v>210</v>
      </c>
      <c r="G207" s="132" t="s">
        <v>21</v>
      </c>
      <c r="H207" s="133">
        <v>2.9521999999999999</v>
      </c>
      <c r="I207" s="133"/>
      <c r="J207" s="129"/>
      <c r="K207" s="129"/>
      <c r="L207" s="129"/>
      <c r="M207" s="129"/>
      <c r="N207" s="129"/>
      <c r="O207" s="129"/>
      <c r="P207" s="129"/>
    </row>
    <row r="208" spans="1:16" s="14" customFormat="1" x14ac:dyDescent="0.2">
      <c r="A208" s="1" t="s">
        <v>1385</v>
      </c>
      <c r="B208" s="1" t="s">
        <v>1386</v>
      </c>
      <c r="C208" s="1" t="s">
        <v>24</v>
      </c>
      <c r="D208" s="134" t="s">
        <v>371</v>
      </c>
      <c r="E208" s="135" t="s">
        <v>18</v>
      </c>
      <c r="F208" s="136" t="s">
        <v>23</v>
      </c>
      <c r="G208" s="135" t="s">
        <v>24</v>
      </c>
      <c r="H208" s="137">
        <v>68.099999999999994</v>
      </c>
      <c r="I208" s="137">
        <v>201.04480000000001</v>
      </c>
      <c r="J208" s="129">
        <v>22914.53</v>
      </c>
      <c r="K208" s="129">
        <f>+J208*I208</f>
        <v>4606847.1009440003</v>
      </c>
      <c r="L208" s="129">
        <f>+I208*J208</f>
        <v>4606847.1009440003</v>
      </c>
      <c r="M208" s="129"/>
      <c r="N208" s="129"/>
      <c r="O208" s="129"/>
      <c r="P208" s="129"/>
    </row>
    <row r="209" spans="1:16" s="15" customFormat="1" x14ac:dyDescent="0.2">
      <c r="A209" s="1" t="s">
        <v>1385</v>
      </c>
      <c r="B209" s="1" t="s">
        <v>1386</v>
      </c>
      <c r="C209" s="1" t="s">
        <v>28</v>
      </c>
      <c r="D209" s="138" t="s">
        <v>372</v>
      </c>
      <c r="E209" s="139" t="s">
        <v>213</v>
      </c>
      <c r="F209" s="140" t="s">
        <v>214</v>
      </c>
      <c r="G209" s="139" t="s">
        <v>28</v>
      </c>
      <c r="H209" s="141">
        <v>1.95</v>
      </c>
      <c r="I209" s="141">
        <v>5.7568000000000001</v>
      </c>
      <c r="J209" s="129">
        <v>1399</v>
      </c>
      <c r="K209" s="129">
        <f>+J209*I209</f>
        <v>8053.7632000000003</v>
      </c>
      <c r="L209" s="129"/>
      <c r="M209" s="129">
        <f>+J209*I209</f>
        <v>8053.7632000000003</v>
      </c>
      <c r="N209" s="129"/>
      <c r="O209" s="129"/>
      <c r="P209" s="129"/>
    </row>
    <row r="210" spans="1:16" s="16" customFormat="1" x14ac:dyDescent="0.2">
      <c r="A210" s="1" t="s">
        <v>1385</v>
      </c>
      <c r="B210" s="1" t="s">
        <v>1386</v>
      </c>
      <c r="C210" s="1" t="s">
        <v>1399</v>
      </c>
      <c r="D210" s="142" t="s">
        <v>373</v>
      </c>
      <c r="E210" s="143" t="s">
        <v>216</v>
      </c>
      <c r="F210" s="144" t="s">
        <v>217</v>
      </c>
      <c r="G210" s="143" t="s">
        <v>107</v>
      </c>
      <c r="H210" s="146">
        <v>0.96199999999999997</v>
      </c>
      <c r="I210" s="146">
        <v>2.84</v>
      </c>
      <c r="J210" s="129">
        <v>1150000</v>
      </c>
      <c r="K210" s="129">
        <f>+J210*I210</f>
        <v>3266000</v>
      </c>
      <c r="L210" s="129"/>
      <c r="M210" s="129"/>
      <c r="N210" s="129">
        <f>+I210*J210</f>
        <v>3266000</v>
      </c>
      <c r="O210" s="129"/>
      <c r="P210" s="129"/>
    </row>
    <row r="211" spans="1:16" s="16" customFormat="1" x14ac:dyDescent="0.2">
      <c r="A211" s="1" t="s">
        <v>1385</v>
      </c>
      <c r="B211" s="1" t="s">
        <v>1386</v>
      </c>
      <c r="C211" s="1" t="s">
        <v>1399</v>
      </c>
      <c r="D211" s="142" t="s">
        <v>374</v>
      </c>
      <c r="E211" s="143" t="s">
        <v>219</v>
      </c>
      <c r="F211" s="144" t="s">
        <v>220</v>
      </c>
      <c r="G211" s="143" t="s">
        <v>107</v>
      </c>
      <c r="H211" s="146">
        <v>0.02</v>
      </c>
      <c r="I211" s="146">
        <v>5.9043999999999999E-2</v>
      </c>
      <c r="J211" s="129">
        <v>12000000</v>
      </c>
      <c r="K211" s="129">
        <f>+J211*I211</f>
        <v>708528</v>
      </c>
      <c r="L211" s="129"/>
      <c r="M211" s="129"/>
      <c r="N211" s="129">
        <f>+I211*J211</f>
        <v>708528</v>
      </c>
      <c r="O211" s="129"/>
      <c r="P211" s="129"/>
    </row>
    <row r="212" spans="1:16" s="1" customFormat="1" ht="63.75" x14ac:dyDescent="0.2">
      <c r="A212" s="1" t="s">
        <v>1385</v>
      </c>
      <c r="B212" s="1" t="s">
        <v>1386</v>
      </c>
      <c r="C212" s="1" t="s">
        <v>1397</v>
      </c>
      <c r="D212" s="130" t="s">
        <v>375</v>
      </c>
      <c r="E212" s="131" t="s">
        <v>222</v>
      </c>
      <c r="F212" s="131" t="s">
        <v>223</v>
      </c>
      <c r="G212" s="132" t="s">
        <v>21</v>
      </c>
      <c r="H212" s="133">
        <v>-2.9521999999999999</v>
      </c>
      <c r="I212" s="133"/>
      <c r="J212" s="129"/>
      <c r="K212" s="129"/>
      <c r="L212" s="129"/>
      <c r="M212" s="129"/>
      <c r="N212" s="129"/>
      <c r="O212" s="129"/>
      <c r="P212" s="129"/>
    </row>
    <row r="213" spans="1:16" s="14" customFormat="1" x14ac:dyDescent="0.2">
      <c r="A213" s="1" t="s">
        <v>1385</v>
      </c>
      <c r="B213" s="1" t="s">
        <v>1386</v>
      </c>
      <c r="C213" s="1" t="s">
        <v>24</v>
      </c>
      <c r="D213" s="134" t="s">
        <v>376</v>
      </c>
      <c r="E213" s="135" t="s">
        <v>18</v>
      </c>
      <c r="F213" s="136" t="s">
        <v>23</v>
      </c>
      <c r="G213" s="135" t="s">
        <v>24</v>
      </c>
      <c r="H213" s="137">
        <v>49.04</v>
      </c>
      <c r="I213" s="137">
        <v>-144.77590000000001</v>
      </c>
      <c r="J213" s="129">
        <v>22914.53</v>
      </c>
      <c r="K213" s="129">
        <f>+J213*I213</f>
        <v>-3317471.7038270002</v>
      </c>
      <c r="L213" s="129">
        <f>+I213*J213</f>
        <v>-3317471.7038270002</v>
      </c>
      <c r="M213" s="129"/>
      <c r="N213" s="129"/>
      <c r="O213" s="129"/>
      <c r="P213" s="129"/>
    </row>
    <row r="214" spans="1:16" s="15" customFormat="1" x14ac:dyDescent="0.2">
      <c r="A214" s="1" t="s">
        <v>1385</v>
      </c>
      <c r="B214" s="1" t="s">
        <v>1386</v>
      </c>
      <c r="C214" s="1" t="s">
        <v>28</v>
      </c>
      <c r="D214" s="138" t="s">
        <v>377</v>
      </c>
      <c r="E214" s="139" t="s">
        <v>213</v>
      </c>
      <c r="F214" s="140" t="s">
        <v>214</v>
      </c>
      <c r="G214" s="139" t="s">
        <v>28</v>
      </c>
      <c r="H214" s="141">
        <v>1.56</v>
      </c>
      <c r="I214" s="141">
        <v>-4.6054000000000004</v>
      </c>
      <c r="J214" s="129">
        <v>1399</v>
      </c>
      <c r="K214" s="129">
        <f>+J214*I214</f>
        <v>-6442.9546000000009</v>
      </c>
      <c r="L214" s="129"/>
      <c r="M214" s="129">
        <f>+J214*I214</f>
        <v>-6442.9546000000009</v>
      </c>
      <c r="N214" s="129"/>
      <c r="O214" s="129"/>
      <c r="P214" s="129"/>
    </row>
    <row r="215" spans="1:16" s="16" customFormat="1" x14ac:dyDescent="0.2">
      <c r="A215" s="1" t="s">
        <v>1385</v>
      </c>
      <c r="B215" s="1" t="s">
        <v>1386</v>
      </c>
      <c r="C215" s="1" t="s">
        <v>1399</v>
      </c>
      <c r="D215" s="142" t="s">
        <v>378</v>
      </c>
      <c r="E215" s="143" t="s">
        <v>216</v>
      </c>
      <c r="F215" s="144" t="s">
        <v>217</v>
      </c>
      <c r="G215" s="143" t="s">
        <v>107</v>
      </c>
      <c r="H215" s="146">
        <v>0.76959999999999995</v>
      </c>
      <c r="I215" s="146">
        <v>-2.2719999999999998</v>
      </c>
      <c r="J215" s="129">
        <v>1150000</v>
      </c>
      <c r="K215" s="129">
        <f>+J215*I215</f>
        <v>-2612800</v>
      </c>
      <c r="L215" s="129"/>
      <c r="M215" s="129"/>
      <c r="N215" s="129">
        <f>+I215*J215</f>
        <v>-2612800</v>
      </c>
      <c r="O215" s="129"/>
      <c r="P215" s="129"/>
    </row>
    <row r="216" spans="1:16" s="1" customFormat="1" ht="38.25" x14ac:dyDescent="0.2">
      <c r="A216" s="1" t="s">
        <v>1385</v>
      </c>
      <c r="B216" s="1" t="s">
        <v>1386</v>
      </c>
      <c r="C216" s="1" t="s">
        <v>1397</v>
      </c>
      <c r="D216" s="130" t="s">
        <v>379</v>
      </c>
      <c r="E216" s="131" t="s">
        <v>228</v>
      </c>
      <c r="F216" s="131" t="s">
        <v>229</v>
      </c>
      <c r="G216" s="132" t="s">
        <v>21</v>
      </c>
      <c r="H216" s="133">
        <v>2.9521999999999999</v>
      </c>
      <c r="I216" s="133"/>
      <c r="J216" s="129"/>
      <c r="K216" s="129"/>
      <c r="L216" s="129"/>
      <c r="M216" s="129"/>
      <c r="N216" s="129"/>
      <c r="O216" s="129"/>
      <c r="P216" s="129"/>
    </row>
    <row r="217" spans="1:16" s="14" customFormat="1" x14ac:dyDescent="0.2">
      <c r="A217" s="1" t="s">
        <v>1385</v>
      </c>
      <c r="B217" s="1" t="s">
        <v>1386</v>
      </c>
      <c r="C217" s="1" t="s">
        <v>24</v>
      </c>
      <c r="D217" s="134" t="s">
        <v>380</v>
      </c>
      <c r="E217" s="135" t="s">
        <v>18</v>
      </c>
      <c r="F217" s="136" t="s">
        <v>23</v>
      </c>
      <c r="G217" s="135" t="s">
        <v>24</v>
      </c>
      <c r="H217" s="137">
        <v>28.6</v>
      </c>
      <c r="I217" s="137">
        <v>84.432900000000004</v>
      </c>
      <c r="J217" s="129">
        <v>22914.53</v>
      </c>
      <c r="K217" s="129">
        <f>+J217*I217</f>
        <v>1934740.220037</v>
      </c>
      <c r="L217" s="129">
        <f>+I217*J217</f>
        <v>1934740.220037</v>
      </c>
      <c r="M217" s="129"/>
      <c r="N217" s="129"/>
      <c r="O217" s="129"/>
      <c r="P217" s="129"/>
    </row>
    <row r="218" spans="1:16" s="15" customFormat="1" x14ac:dyDescent="0.2">
      <c r="A218" s="1" t="s">
        <v>1385</v>
      </c>
      <c r="B218" s="1" t="s">
        <v>1386</v>
      </c>
      <c r="C218" s="1" t="s">
        <v>28</v>
      </c>
      <c r="D218" s="138" t="s">
        <v>381</v>
      </c>
      <c r="E218" s="139" t="s">
        <v>193</v>
      </c>
      <c r="F218" s="140" t="s">
        <v>31</v>
      </c>
      <c r="G218" s="139" t="s">
        <v>28</v>
      </c>
      <c r="H218" s="141">
        <v>0.1</v>
      </c>
      <c r="I218" s="141">
        <v>0.29521999999999998</v>
      </c>
      <c r="J218" s="129">
        <v>106655</v>
      </c>
      <c r="K218" s="129">
        <f>+J218*I218</f>
        <v>31486.6891</v>
      </c>
      <c r="L218" s="129"/>
      <c r="M218" s="129">
        <f>+J218*I218</f>
        <v>31486.6891</v>
      </c>
      <c r="N218" s="129"/>
      <c r="O218" s="129"/>
      <c r="P218" s="129"/>
    </row>
    <row r="219" spans="1:16" s="16" customFormat="1" x14ac:dyDescent="0.2">
      <c r="A219" s="1" t="s">
        <v>1385</v>
      </c>
      <c r="B219" s="1" t="s">
        <v>1386</v>
      </c>
      <c r="C219" s="1" t="s">
        <v>1399</v>
      </c>
      <c r="D219" s="142" t="s">
        <v>382</v>
      </c>
      <c r="E219" s="143" t="s">
        <v>233</v>
      </c>
      <c r="F219" s="144" t="s">
        <v>234</v>
      </c>
      <c r="G219" s="143" t="s">
        <v>107</v>
      </c>
      <c r="H219" s="146">
        <v>6.9000000000000006E-2</v>
      </c>
      <c r="I219" s="146">
        <v>0.20370199999999999</v>
      </c>
      <c r="J219" s="129">
        <v>8009000</v>
      </c>
      <c r="K219" s="129">
        <f>+J219*I219</f>
        <v>1631449.318</v>
      </c>
      <c r="L219" s="129"/>
      <c r="M219" s="129"/>
      <c r="N219" s="129">
        <f>+I219*J219</f>
        <v>1631449.318</v>
      </c>
      <c r="O219" s="129"/>
      <c r="P219" s="129"/>
    </row>
    <row r="220" spans="1:16" s="16" customFormat="1" x14ac:dyDescent="0.2">
      <c r="A220" s="1" t="s">
        <v>1385</v>
      </c>
      <c r="B220" s="1" t="s">
        <v>1386</v>
      </c>
      <c r="C220" s="1" t="s">
        <v>1399</v>
      </c>
      <c r="D220" s="142" t="s">
        <v>383</v>
      </c>
      <c r="E220" s="143" t="s">
        <v>201</v>
      </c>
      <c r="F220" s="144" t="s">
        <v>202</v>
      </c>
      <c r="G220" s="143" t="s">
        <v>107</v>
      </c>
      <c r="H220" s="146">
        <v>5.4999999999999997E-3</v>
      </c>
      <c r="I220" s="146">
        <v>1.6237000000000001E-2</v>
      </c>
      <c r="J220" s="129">
        <v>1150000</v>
      </c>
      <c r="K220" s="129">
        <f>+J220*I220</f>
        <v>18672.550000000003</v>
      </c>
      <c r="L220" s="129"/>
      <c r="M220" s="129"/>
      <c r="N220" s="129">
        <f>+I220*J220</f>
        <v>18672.550000000003</v>
      </c>
      <c r="O220" s="129"/>
      <c r="P220" s="129"/>
    </row>
    <row r="221" spans="1:16" s="16" customFormat="1" x14ac:dyDescent="0.2">
      <c r="A221" s="1" t="s">
        <v>1385</v>
      </c>
      <c r="B221" s="1" t="s">
        <v>1386</v>
      </c>
      <c r="C221" s="1" t="s">
        <v>1399</v>
      </c>
      <c r="D221" s="142" t="s">
        <v>384</v>
      </c>
      <c r="E221" s="143" t="s">
        <v>204</v>
      </c>
      <c r="F221" s="144" t="s">
        <v>205</v>
      </c>
      <c r="G221" s="143" t="s">
        <v>38</v>
      </c>
      <c r="H221" s="146">
        <v>0.84</v>
      </c>
      <c r="I221" s="146">
        <v>2.4798</v>
      </c>
      <c r="J221" s="129">
        <v>15000</v>
      </c>
      <c r="K221" s="129">
        <f>+J221*I221</f>
        <v>37197</v>
      </c>
      <c r="L221" s="129"/>
      <c r="M221" s="129"/>
      <c r="N221" s="129">
        <f>+I221*J221</f>
        <v>37197</v>
      </c>
      <c r="O221" s="129"/>
      <c r="P221" s="129"/>
    </row>
    <row r="222" spans="1:16" s="1" customFormat="1" ht="63.75" x14ac:dyDescent="0.2">
      <c r="A222" s="1" t="s">
        <v>1385</v>
      </c>
      <c r="B222" s="1" t="s">
        <v>1386</v>
      </c>
      <c r="C222" s="1" t="s">
        <v>1397</v>
      </c>
      <c r="D222" s="130" t="s">
        <v>385</v>
      </c>
      <c r="E222" s="131" t="s">
        <v>238</v>
      </c>
      <c r="F222" s="131" t="s">
        <v>239</v>
      </c>
      <c r="G222" s="132" t="s">
        <v>21</v>
      </c>
      <c r="H222" s="133">
        <v>5.3869999999999996</v>
      </c>
      <c r="I222" s="133"/>
      <c r="J222" s="129"/>
      <c r="K222" s="129"/>
      <c r="L222" s="129"/>
      <c r="M222" s="129"/>
      <c r="N222" s="129"/>
      <c r="O222" s="129"/>
      <c r="P222" s="129"/>
    </row>
    <row r="223" spans="1:16" s="14" customFormat="1" x14ac:dyDescent="0.2">
      <c r="A223" s="1" t="s">
        <v>1385</v>
      </c>
      <c r="B223" s="1" t="s">
        <v>1386</v>
      </c>
      <c r="C223" s="1" t="s">
        <v>24</v>
      </c>
      <c r="D223" s="134" t="s">
        <v>386</v>
      </c>
      <c r="E223" s="135" t="s">
        <v>18</v>
      </c>
      <c r="F223" s="136" t="s">
        <v>23</v>
      </c>
      <c r="G223" s="135" t="s">
        <v>24</v>
      </c>
      <c r="H223" s="137">
        <v>15.41</v>
      </c>
      <c r="I223" s="137">
        <v>83.0137</v>
      </c>
      <c r="J223" s="129">
        <v>22914.53</v>
      </c>
      <c r="K223" s="129">
        <f t="shared" ref="K223:K228" si="8">+J223*I223</f>
        <v>1902219.919061</v>
      </c>
      <c r="L223" s="129">
        <f>+I223*J223</f>
        <v>1902219.919061</v>
      </c>
      <c r="M223" s="129"/>
      <c r="N223" s="129"/>
      <c r="O223" s="129"/>
      <c r="P223" s="129"/>
    </row>
    <row r="224" spans="1:16" s="15" customFormat="1" x14ac:dyDescent="0.2">
      <c r="A224" s="1" t="s">
        <v>1385</v>
      </c>
      <c r="B224" s="1" t="s">
        <v>1386</v>
      </c>
      <c r="C224" s="1" t="s">
        <v>28</v>
      </c>
      <c r="D224" s="138" t="s">
        <v>387</v>
      </c>
      <c r="E224" s="139" t="s">
        <v>242</v>
      </c>
      <c r="F224" s="140" t="s">
        <v>243</v>
      </c>
      <c r="G224" s="139" t="s">
        <v>28</v>
      </c>
      <c r="H224" s="141">
        <v>7.87</v>
      </c>
      <c r="I224" s="141">
        <v>42.395699999999998</v>
      </c>
      <c r="J224" s="129">
        <v>1053</v>
      </c>
      <c r="K224" s="129">
        <f t="shared" si="8"/>
        <v>44642.672099999996</v>
      </c>
      <c r="L224" s="129"/>
      <c r="M224" s="129">
        <f>+J224*I224</f>
        <v>44642.672099999996</v>
      </c>
      <c r="N224" s="129"/>
      <c r="O224" s="129"/>
      <c r="P224" s="129"/>
    </row>
    <row r="225" spans="1:16" s="16" customFormat="1" x14ac:dyDescent="0.2">
      <c r="A225" s="1" t="s">
        <v>1385</v>
      </c>
      <c r="B225" s="1" t="s">
        <v>1386</v>
      </c>
      <c r="C225" s="1" t="s">
        <v>1399</v>
      </c>
      <c r="D225" s="142" t="s">
        <v>388</v>
      </c>
      <c r="E225" s="143" t="s">
        <v>245</v>
      </c>
      <c r="F225" s="144" t="s">
        <v>246</v>
      </c>
      <c r="G225" s="143" t="s">
        <v>107</v>
      </c>
      <c r="H225" s="145">
        <v>1</v>
      </c>
      <c r="I225" s="146">
        <v>5.3869999999999996</v>
      </c>
      <c r="J225" s="129">
        <v>1150000</v>
      </c>
      <c r="K225" s="129">
        <f t="shared" si="8"/>
        <v>6195049.9999999991</v>
      </c>
      <c r="L225" s="129"/>
      <c r="M225" s="129"/>
      <c r="N225" s="129">
        <f>+I225*J225</f>
        <v>6195049.9999999991</v>
      </c>
      <c r="O225" s="129"/>
      <c r="P225" s="129"/>
    </row>
    <row r="226" spans="1:16" s="16" customFormat="1" x14ac:dyDescent="0.2">
      <c r="A226" s="1" t="s">
        <v>1385</v>
      </c>
      <c r="B226" s="1" t="s">
        <v>1386</v>
      </c>
      <c r="C226" s="1" t="s">
        <v>1399</v>
      </c>
      <c r="D226" s="142" t="s">
        <v>389</v>
      </c>
      <c r="E226" s="143" t="s">
        <v>248</v>
      </c>
      <c r="F226" s="144" t="s">
        <v>249</v>
      </c>
      <c r="G226" s="143" t="s">
        <v>250</v>
      </c>
      <c r="H226" s="145">
        <v>15</v>
      </c>
      <c r="I226" s="146">
        <v>80.805000000000007</v>
      </c>
      <c r="J226" s="129">
        <v>12000</v>
      </c>
      <c r="K226" s="129">
        <f t="shared" si="8"/>
        <v>969660.00000000012</v>
      </c>
      <c r="L226" s="129"/>
      <c r="M226" s="129"/>
      <c r="N226" s="129">
        <f>+I226*J226</f>
        <v>969660.00000000012</v>
      </c>
      <c r="O226" s="129"/>
      <c r="P226" s="129"/>
    </row>
    <row r="227" spans="1:16" s="16" customFormat="1" x14ac:dyDescent="0.2">
      <c r="A227" s="1" t="s">
        <v>1385</v>
      </c>
      <c r="B227" s="1" t="s">
        <v>1386</v>
      </c>
      <c r="C227" s="1" t="s">
        <v>1399</v>
      </c>
      <c r="D227" s="142" t="s">
        <v>390</v>
      </c>
      <c r="E227" s="143" t="s">
        <v>252</v>
      </c>
      <c r="F227" s="144" t="s">
        <v>253</v>
      </c>
      <c r="G227" s="143" t="s">
        <v>69</v>
      </c>
      <c r="H227" s="145">
        <v>230</v>
      </c>
      <c r="I227" s="146">
        <v>1239.01</v>
      </c>
      <c r="J227" s="129">
        <v>500</v>
      </c>
      <c r="K227" s="129">
        <f t="shared" si="8"/>
        <v>619505</v>
      </c>
      <c r="L227" s="129"/>
      <c r="M227" s="129"/>
      <c r="N227" s="129">
        <f>+I227*J227</f>
        <v>619505</v>
      </c>
      <c r="O227" s="129"/>
      <c r="P227" s="129"/>
    </row>
    <row r="228" spans="1:16" s="16" customFormat="1" x14ac:dyDescent="0.2">
      <c r="A228" s="1" t="s">
        <v>1385</v>
      </c>
      <c r="B228" s="1" t="s">
        <v>1386</v>
      </c>
      <c r="C228" s="1" t="s">
        <v>1399</v>
      </c>
      <c r="D228" s="142" t="s">
        <v>391</v>
      </c>
      <c r="E228" s="143" t="s">
        <v>255</v>
      </c>
      <c r="F228" s="144" t="s">
        <v>256</v>
      </c>
      <c r="G228" s="143" t="s">
        <v>69</v>
      </c>
      <c r="H228" s="145">
        <v>43</v>
      </c>
      <c r="I228" s="146">
        <v>231.64099999999999</v>
      </c>
      <c r="J228" s="129">
        <v>500</v>
      </c>
      <c r="K228" s="129">
        <f t="shared" si="8"/>
        <v>115820.5</v>
      </c>
      <c r="L228" s="129"/>
      <c r="M228" s="129"/>
      <c r="N228" s="129">
        <f>+I228*J228</f>
        <v>115820.5</v>
      </c>
      <c r="O228" s="129"/>
      <c r="P228" s="129"/>
    </row>
    <row r="229" spans="1:16" s="1" customFormat="1" ht="38.25" x14ac:dyDescent="0.2">
      <c r="A229" s="1" t="s">
        <v>1385</v>
      </c>
      <c r="B229" s="1" t="s">
        <v>1386</v>
      </c>
      <c r="C229" s="1" t="s">
        <v>1397</v>
      </c>
      <c r="D229" s="130" t="s">
        <v>392</v>
      </c>
      <c r="E229" s="131" t="s">
        <v>274</v>
      </c>
      <c r="F229" s="131" t="s">
        <v>275</v>
      </c>
      <c r="G229" s="132" t="s">
        <v>21</v>
      </c>
      <c r="H229" s="133">
        <v>5.3869999999999996</v>
      </c>
      <c r="I229" s="133"/>
      <c r="J229" s="129"/>
      <c r="K229" s="129"/>
      <c r="L229" s="129"/>
      <c r="M229" s="129"/>
      <c r="N229" s="129"/>
      <c r="O229" s="129"/>
      <c r="P229" s="129"/>
    </row>
    <row r="230" spans="1:16" s="14" customFormat="1" x14ac:dyDescent="0.2">
      <c r="A230" s="1" t="s">
        <v>1385</v>
      </c>
      <c r="B230" s="1" t="s">
        <v>1386</v>
      </c>
      <c r="C230" s="1" t="s">
        <v>24</v>
      </c>
      <c r="D230" s="134" t="s">
        <v>393</v>
      </c>
      <c r="E230" s="135" t="s">
        <v>18</v>
      </c>
      <c r="F230" s="136" t="s">
        <v>23</v>
      </c>
      <c r="G230" s="135" t="s">
        <v>24</v>
      </c>
      <c r="H230" s="137">
        <v>25.41</v>
      </c>
      <c r="I230" s="137">
        <v>136.8837</v>
      </c>
      <c r="J230" s="129">
        <v>22914.53</v>
      </c>
      <c r="K230" s="129">
        <f>+J230*I230</f>
        <v>3136625.650161</v>
      </c>
      <c r="L230" s="129">
        <f>+I230*J230</f>
        <v>3136625.650161</v>
      </c>
      <c r="M230" s="129"/>
      <c r="N230" s="129"/>
      <c r="O230" s="129"/>
      <c r="P230" s="129"/>
    </row>
    <row r="231" spans="1:16" s="15" customFormat="1" x14ac:dyDescent="0.2">
      <c r="A231" s="1" t="s">
        <v>1385</v>
      </c>
      <c r="B231" s="1" t="s">
        <v>1386</v>
      </c>
      <c r="C231" s="1" t="s">
        <v>28</v>
      </c>
      <c r="D231" s="138" t="s">
        <v>394</v>
      </c>
      <c r="E231" s="139" t="s">
        <v>193</v>
      </c>
      <c r="F231" s="140" t="s">
        <v>31</v>
      </c>
      <c r="G231" s="139" t="s">
        <v>28</v>
      </c>
      <c r="H231" s="141">
        <v>0.1</v>
      </c>
      <c r="I231" s="141">
        <v>0.53869999999999996</v>
      </c>
      <c r="J231" s="129">
        <v>106655</v>
      </c>
      <c r="K231" s="129">
        <f>+J231*I231</f>
        <v>57455.048499999997</v>
      </c>
      <c r="L231" s="129"/>
      <c r="M231" s="129">
        <f>+J231*I231</f>
        <v>57455.048499999997</v>
      </c>
      <c r="N231" s="129"/>
      <c r="O231" s="129"/>
      <c r="P231" s="129"/>
    </row>
    <row r="232" spans="1:16" s="16" customFormat="1" x14ac:dyDescent="0.2">
      <c r="A232" s="1" t="s">
        <v>1385</v>
      </c>
      <c r="B232" s="1" t="s">
        <v>1386</v>
      </c>
      <c r="C232" s="1" t="s">
        <v>1399</v>
      </c>
      <c r="D232" s="142" t="s">
        <v>395</v>
      </c>
      <c r="E232" s="143" t="s">
        <v>233</v>
      </c>
      <c r="F232" s="144" t="s">
        <v>234</v>
      </c>
      <c r="G232" s="143" t="s">
        <v>107</v>
      </c>
      <c r="H232" s="146">
        <v>6.3E-2</v>
      </c>
      <c r="I232" s="146">
        <v>0.33938099999999999</v>
      </c>
      <c r="J232" s="129">
        <v>8009000</v>
      </c>
      <c r="K232" s="129">
        <f>+J232*I232</f>
        <v>2718102.429</v>
      </c>
      <c r="L232" s="129"/>
      <c r="M232" s="129"/>
      <c r="N232" s="129">
        <f>+I232*J232</f>
        <v>2718102.429</v>
      </c>
      <c r="O232" s="129"/>
      <c r="P232" s="129"/>
    </row>
    <row r="233" spans="1:16" s="16" customFormat="1" x14ac:dyDescent="0.2">
      <c r="A233" s="1" t="s">
        <v>1385</v>
      </c>
      <c r="B233" s="1" t="s">
        <v>1386</v>
      </c>
      <c r="C233" s="1" t="s">
        <v>1399</v>
      </c>
      <c r="D233" s="142" t="s">
        <v>396</v>
      </c>
      <c r="E233" s="143" t="s">
        <v>201</v>
      </c>
      <c r="F233" s="144" t="s">
        <v>202</v>
      </c>
      <c r="G233" s="143" t="s">
        <v>107</v>
      </c>
      <c r="H233" s="146">
        <v>5.0000000000000001E-3</v>
      </c>
      <c r="I233" s="146">
        <v>2.6935000000000001E-2</v>
      </c>
      <c r="J233" s="129">
        <v>1150000</v>
      </c>
      <c r="K233" s="129">
        <f>+J233*I233</f>
        <v>30975.25</v>
      </c>
      <c r="L233" s="129"/>
      <c r="M233" s="129"/>
      <c r="N233" s="129">
        <f>+I233*J233</f>
        <v>30975.25</v>
      </c>
      <c r="O233" s="129"/>
      <c r="P233" s="129"/>
    </row>
    <row r="234" spans="1:16" s="16" customFormat="1" x14ac:dyDescent="0.2">
      <c r="A234" s="1" t="s">
        <v>1385</v>
      </c>
      <c r="B234" s="1" t="s">
        <v>1386</v>
      </c>
      <c r="C234" s="1" t="s">
        <v>1399</v>
      </c>
      <c r="D234" s="142" t="s">
        <v>397</v>
      </c>
      <c r="E234" s="143" t="s">
        <v>204</v>
      </c>
      <c r="F234" s="144" t="s">
        <v>205</v>
      </c>
      <c r="G234" s="143" t="s">
        <v>38</v>
      </c>
      <c r="H234" s="146">
        <v>0.84</v>
      </c>
      <c r="I234" s="146">
        <v>4.5251000000000001</v>
      </c>
      <c r="J234" s="129">
        <v>15000</v>
      </c>
      <c r="K234" s="129">
        <f>+J234*I234</f>
        <v>67876.5</v>
      </c>
      <c r="L234" s="129"/>
      <c r="M234" s="129"/>
      <c r="N234" s="129">
        <f>+I234*J234</f>
        <v>67876.5</v>
      </c>
      <c r="O234" s="129"/>
      <c r="P234" s="129"/>
    </row>
    <row r="235" spans="1:16" ht="15.75" x14ac:dyDescent="0.25">
      <c r="A235" s="1" t="s">
        <v>1385</v>
      </c>
      <c r="B235" s="1" t="s">
        <v>1386</v>
      </c>
      <c r="C235" s="1"/>
      <c r="D235" s="127" t="s">
        <v>398</v>
      </c>
      <c r="E235" s="128"/>
      <c r="F235" s="128"/>
      <c r="G235" s="128"/>
      <c r="H235" s="128"/>
      <c r="I235" s="128"/>
      <c r="J235" s="129"/>
      <c r="K235" s="129"/>
      <c r="L235" s="129"/>
      <c r="M235" s="129"/>
      <c r="N235" s="129"/>
      <c r="O235" s="129"/>
      <c r="P235" s="129"/>
    </row>
    <row r="236" spans="1:16" s="1" customFormat="1" ht="63.75" x14ac:dyDescent="0.2">
      <c r="A236" s="1" t="s">
        <v>1385</v>
      </c>
      <c r="B236" s="1" t="s">
        <v>1386</v>
      </c>
      <c r="C236" s="1" t="s">
        <v>1397</v>
      </c>
      <c r="D236" s="130" t="s">
        <v>399</v>
      </c>
      <c r="E236" s="131" t="s">
        <v>238</v>
      </c>
      <c r="F236" s="131" t="s">
        <v>239</v>
      </c>
      <c r="G236" s="132" t="s">
        <v>21</v>
      </c>
      <c r="H236" s="133">
        <v>1.1910000000000001</v>
      </c>
      <c r="I236" s="133"/>
      <c r="J236" s="129"/>
      <c r="K236" s="129"/>
      <c r="L236" s="129"/>
      <c r="M236" s="129"/>
      <c r="N236" s="129"/>
      <c r="O236" s="129"/>
      <c r="P236" s="129"/>
    </row>
    <row r="237" spans="1:16" s="14" customFormat="1" x14ac:dyDescent="0.2">
      <c r="A237" s="1" t="s">
        <v>1385</v>
      </c>
      <c r="B237" s="1" t="s">
        <v>1386</v>
      </c>
      <c r="C237" s="1" t="s">
        <v>24</v>
      </c>
      <c r="D237" s="134" t="s">
        <v>400</v>
      </c>
      <c r="E237" s="135" t="s">
        <v>18</v>
      </c>
      <c r="F237" s="136" t="s">
        <v>23</v>
      </c>
      <c r="G237" s="135" t="s">
        <v>24</v>
      </c>
      <c r="H237" s="137">
        <v>15.41</v>
      </c>
      <c r="I237" s="137">
        <v>18.353300000000001</v>
      </c>
      <c r="J237" s="129">
        <v>22914.53</v>
      </c>
      <c r="K237" s="129">
        <f t="shared" ref="K237:K242" si="9">+J237*I237</f>
        <v>420557.243449</v>
      </c>
      <c r="L237" s="129">
        <f>+I237*J237</f>
        <v>420557.243449</v>
      </c>
      <c r="M237" s="129"/>
      <c r="N237" s="129"/>
      <c r="O237" s="129"/>
      <c r="P237" s="129"/>
    </row>
    <row r="238" spans="1:16" s="15" customFormat="1" x14ac:dyDescent="0.2">
      <c r="A238" s="1" t="s">
        <v>1385</v>
      </c>
      <c r="B238" s="1" t="s">
        <v>1386</v>
      </c>
      <c r="C238" s="1" t="s">
        <v>28</v>
      </c>
      <c r="D238" s="138" t="s">
        <v>401</v>
      </c>
      <c r="E238" s="139" t="s">
        <v>242</v>
      </c>
      <c r="F238" s="140" t="s">
        <v>243</v>
      </c>
      <c r="G238" s="139" t="s">
        <v>28</v>
      </c>
      <c r="H238" s="141">
        <v>7.87</v>
      </c>
      <c r="I238" s="141">
        <v>9.3732000000000006</v>
      </c>
      <c r="J238" s="129">
        <v>1053</v>
      </c>
      <c r="K238" s="129">
        <f t="shared" si="9"/>
        <v>9869.9796000000006</v>
      </c>
      <c r="L238" s="129"/>
      <c r="M238" s="129">
        <f>+J238*I238</f>
        <v>9869.9796000000006</v>
      </c>
      <c r="N238" s="129"/>
      <c r="O238" s="129"/>
      <c r="P238" s="129"/>
    </row>
    <row r="239" spans="1:16" s="16" customFormat="1" x14ac:dyDescent="0.2">
      <c r="A239" s="1" t="s">
        <v>1385</v>
      </c>
      <c r="B239" s="1" t="s">
        <v>1386</v>
      </c>
      <c r="C239" s="1" t="s">
        <v>1399</v>
      </c>
      <c r="D239" s="142" t="s">
        <v>402</v>
      </c>
      <c r="E239" s="143" t="s">
        <v>245</v>
      </c>
      <c r="F239" s="144" t="s">
        <v>246</v>
      </c>
      <c r="G239" s="143" t="s">
        <v>107</v>
      </c>
      <c r="H239" s="145">
        <v>1</v>
      </c>
      <c r="I239" s="146">
        <v>1.1910000000000001</v>
      </c>
      <c r="J239" s="129">
        <v>1150000</v>
      </c>
      <c r="K239" s="129">
        <f t="shared" si="9"/>
        <v>1369650</v>
      </c>
      <c r="L239" s="129"/>
      <c r="M239" s="129"/>
      <c r="N239" s="129">
        <f>+I239*J239</f>
        <v>1369650</v>
      </c>
      <c r="O239" s="129"/>
      <c r="P239" s="129"/>
    </row>
    <row r="240" spans="1:16" s="16" customFormat="1" x14ac:dyDescent="0.2">
      <c r="A240" s="1" t="s">
        <v>1385</v>
      </c>
      <c r="B240" s="1" t="s">
        <v>1386</v>
      </c>
      <c r="C240" s="1" t="s">
        <v>1399</v>
      </c>
      <c r="D240" s="142" t="s">
        <v>403</v>
      </c>
      <c r="E240" s="143" t="s">
        <v>248</v>
      </c>
      <c r="F240" s="144" t="s">
        <v>249</v>
      </c>
      <c r="G240" s="143" t="s">
        <v>250</v>
      </c>
      <c r="H240" s="145">
        <v>15</v>
      </c>
      <c r="I240" s="146">
        <v>17.864999999999998</v>
      </c>
      <c r="J240" s="129">
        <v>12000</v>
      </c>
      <c r="K240" s="129">
        <f t="shared" si="9"/>
        <v>214379.99999999997</v>
      </c>
      <c r="L240" s="129"/>
      <c r="M240" s="129"/>
      <c r="N240" s="129">
        <f>+I240*J240</f>
        <v>214379.99999999997</v>
      </c>
      <c r="O240" s="129"/>
      <c r="P240" s="129"/>
    </row>
    <row r="241" spans="1:16" s="16" customFormat="1" x14ac:dyDescent="0.2">
      <c r="A241" s="1" t="s">
        <v>1385</v>
      </c>
      <c r="B241" s="1" t="s">
        <v>1386</v>
      </c>
      <c r="C241" s="1" t="s">
        <v>1399</v>
      </c>
      <c r="D241" s="142" t="s">
        <v>404</v>
      </c>
      <c r="E241" s="143" t="s">
        <v>252</v>
      </c>
      <c r="F241" s="144" t="s">
        <v>253</v>
      </c>
      <c r="G241" s="143" t="s">
        <v>69</v>
      </c>
      <c r="H241" s="145">
        <v>230</v>
      </c>
      <c r="I241" s="146">
        <v>273.93</v>
      </c>
      <c r="J241" s="129">
        <v>500</v>
      </c>
      <c r="K241" s="129">
        <f t="shared" si="9"/>
        <v>136965</v>
      </c>
      <c r="L241" s="129"/>
      <c r="M241" s="129"/>
      <c r="N241" s="129">
        <f>+I241*J241</f>
        <v>136965</v>
      </c>
      <c r="O241" s="129"/>
      <c r="P241" s="129"/>
    </row>
    <row r="242" spans="1:16" s="16" customFormat="1" x14ac:dyDescent="0.2">
      <c r="A242" s="1" t="s">
        <v>1385</v>
      </c>
      <c r="B242" s="1" t="s">
        <v>1386</v>
      </c>
      <c r="C242" s="1" t="s">
        <v>1399</v>
      </c>
      <c r="D242" s="142" t="s">
        <v>405</v>
      </c>
      <c r="E242" s="143" t="s">
        <v>255</v>
      </c>
      <c r="F242" s="144" t="s">
        <v>256</v>
      </c>
      <c r="G242" s="143" t="s">
        <v>69</v>
      </c>
      <c r="H242" s="145">
        <v>43</v>
      </c>
      <c r="I242" s="146">
        <v>51.213000000000001</v>
      </c>
      <c r="J242" s="129">
        <v>500</v>
      </c>
      <c r="K242" s="129">
        <f t="shared" si="9"/>
        <v>25606.5</v>
      </c>
      <c r="L242" s="129"/>
      <c r="M242" s="129"/>
      <c r="N242" s="129">
        <f>+I242*J242</f>
        <v>25606.5</v>
      </c>
      <c r="O242" s="129"/>
      <c r="P242" s="129"/>
    </row>
    <row r="243" spans="1:16" s="1" customFormat="1" ht="38.25" x14ac:dyDescent="0.2">
      <c r="A243" s="1" t="s">
        <v>1385</v>
      </c>
      <c r="B243" s="1" t="s">
        <v>1386</v>
      </c>
      <c r="C243" s="1" t="s">
        <v>1397</v>
      </c>
      <c r="D243" s="130" t="s">
        <v>406</v>
      </c>
      <c r="E243" s="131" t="s">
        <v>274</v>
      </c>
      <c r="F243" s="131" t="s">
        <v>275</v>
      </c>
      <c r="G243" s="132" t="s">
        <v>21</v>
      </c>
      <c r="H243" s="133">
        <v>1.1910000000000001</v>
      </c>
      <c r="I243" s="133"/>
      <c r="J243" s="129"/>
      <c r="K243" s="129"/>
      <c r="L243" s="129"/>
      <c r="M243" s="129"/>
      <c r="N243" s="129"/>
      <c r="O243" s="129"/>
      <c r="P243" s="129"/>
    </row>
    <row r="244" spans="1:16" s="14" customFormat="1" x14ac:dyDescent="0.2">
      <c r="A244" s="1" t="s">
        <v>1385</v>
      </c>
      <c r="B244" s="1" t="s">
        <v>1386</v>
      </c>
      <c r="C244" s="1" t="s">
        <v>24</v>
      </c>
      <c r="D244" s="134" t="s">
        <v>407</v>
      </c>
      <c r="E244" s="135" t="s">
        <v>18</v>
      </c>
      <c r="F244" s="136" t="s">
        <v>23</v>
      </c>
      <c r="G244" s="135" t="s">
        <v>24</v>
      </c>
      <c r="H244" s="137">
        <v>25.41</v>
      </c>
      <c r="I244" s="137">
        <v>30.263300000000001</v>
      </c>
      <c r="J244" s="129">
        <v>22914.53</v>
      </c>
      <c r="K244" s="129">
        <f>+J244*I244</f>
        <v>693469.29574900004</v>
      </c>
      <c r="L244" s="129">
        <f>+I244*J244</f>
        <v>693469.29574900004</v>
      </c>
      <c r="M244" s="129"/>
      <c r="N244" s="129"/>
      <c r="O244" s="129"/>
      <c r="P244" s="129"/>
    </row>
    <row r="245" spans="1:16" s="15" customFormat="1" x14ac:dyDescent="0.2">
      <c r="A245" s="1" t="s">
        <v>1385</v>
      </c>
      <c r="B245" s="1" t="s">
        <v>1386</v>
      </c>
      <c r="C245" s="1" t="s">
        <v>28</v>
      </c>
      <c r="D245" s="138" t="s">
        <v>408</v>
      </c>
      <c r="E245" s="139" t="s">
        <v>193</v>
      </c>
      <c r="F245" s="140" t="s">
        <v>31</v>
      </c>
      <c r="G245" s="139" t="s">
        <v>28</v>
      </c>
      <c r="H245" s="141">
        <v>0.1</v>
      </c>
      <c r="I245" s="141">
        <v>0.1191</v>
      </c>
      <c r="J245" s="129">
        <v>106655</v>
      </c>
      <c r="K245" s="129">
        <f>+J245*I245</f>
        <v>12702.610499999999</v>
      </c>
      <c r="L245" s="129"/>
      <c r="M245" s="129">
        <f>+J245*I245</f>
        <v>12702.610499999999</v>
      </c>
      <c r="N245" s="129"/>
      <c r="O245" s="129"/>
      <c r="P245" s="129"/>
    </row>
    <row r="246" spans="1:16" s="16" customFormat="1" x14ac:dyDescent="0.2">
      <c r="A246" s="1" t="s">
        <v>1385</v>
      </c>
      <c r="B246" s="1" t="s">
        <v>1386</v>
      </c>
      <c r="C246" s="1" t="s">
        <v>1399</v>
      </c>
      <c r="D246" s="142" t="s">
        <v>409</v>
      </c>
      <c r="E246" s="143" t="s">
        <v>233</v>
      </c>
      <c r="F246" s="144" t="s">
        <v>234</v>
      </c>
      <c r="G246" s="143" t="s">
        <v>107</v>
      </c>
      <c r="H246" s="146">
        <v>6.3E-2</v>
      </c>
      <c r="I246" s="146">
        <v>7.5033000000000002E-2</v>
      </c>
      <c r="J246" s="129">
        <v>8009000</v>
      </c>
      <c r="K246" s="129">
        <f>+J246*I246</f>
        <v>600939.29700000002</v>
      </c>
      <c r="L246" s="129"/>
      <c r="M246" s="129"/>
      <c r="N246" s="129">
        <f>+I246*J246</f>
        <v>600939.29700000002</v>
      </c>
      <c r="O246" s="129"/>
      <c r="P246" s="129"/>
    </row>
    <row r="247" spans="1:16" s="16" customFormat="1" x14ac:dyDescent="0.2">
      <c r="A247" s="1" t="s">
        <v>1385</v>
      </c>
      <c r="B247" s="1" t="s">
        <v>1386</v>
      </c>
      <c r="C247" s="1" t="s">
        <v>1399</v>
      </c>
      <c r="D247" s="142" t="s">
        <v>410</v>
      </c>
      <c r="E247" s="143" t="s">
        <v>201</v>
      </c>
      <c r="F247" s="144" t="s">
        <v>202</v>
      </c>
      <c r="G247" s="143" t="s">
        <v>107</v>
      </c>
      <c r="H247" s="146">
        <v>5.0000000000000001E-3</v>
      </c>
      <c r="I247" s="146">
        <v>5.9550000000000002E-3</v>
      </c>
      <c r="J247" s="129">
        <v>1150000</v>
      </c>
      <c r="K247" s="129">
        <f>+J247*I247</f>
        <v>6848.25</v>
      </c>
      <c r="L247" s="129"/>
      <c r="M247" s="129"/>
      <c r="N247" s="129">
        <f>+I247*J247</f>
        <v>6848.25</v>
      </c>
      <c r="O247" s="129"/>
      <c r="P247" s="129"/>
    </row>
    <row r="248" spans="1:16" s="16" customFormat="1" x14ac:dyDescent="0.2">
      <c r="A248" s="1" t="s">
        <v>1385</v>
      </c>
      <c r="B248" s="1" t="s">
        <v>1386</v>
      </c>
      <c r="C248" s="1" t="s">
        <v>1399</v>
      </c>
      <c r="D248" s="142" t="s">
        <v>411</v>
      </c>
      <c r="E248" s="143" t="s">
        <v>204</v>
      </c>
      <c r="F248" s="144" t="s">
        <v>205</v>
      </c>
      <c r="G248" s="143" t="s">
        <v>38</v>
      </c>
      <c r="H248" s="146">
        <v>0.84</v>
      </c>
      <c r="I248" s="146">
        <v>1.0004</v>
      </c>
      <c r="J248" s="129">
        <v>15000</v>
      </c>
      <c r="K248" s="129">
        <f>+J248*I248</f>
        <v>15006</v>
      </c>
      <c r="L248" s="129"/>
      <c r="M248" s="129"/>
      <c r="N248" s="129">
        <f>+I248*J248</f>
        <v>15006</v>
      </c>
      <c r="O248" s="129"/>
      <c r="P248" s="129"/>
    </row>
    <row r="249" spans="1:16" ht="15.75" x14ac:dyDescent="0.25">
      <c r="A249" s="1" t="s">
        <v>1385</v>
      </c>
      <c r="B249" s="1" t="s">
        <v>1386</v>
      </c>
      <c r="C249" s="1"/>
      <c r="D249" s="127" t="s">
        <v>412</v>
      </c>
      <c r="E249" s="128"/>
      <c r="F249" s="128"/>
      <c r="G249" s="128"/>
      <c r="H249" s="128"/>
      <c r="I249" s="128"/>
      <c r="J249" s="129"/>
      <c r="K249" s="129"/>
      <c r="L249" s="129"/>
      <c r="M249" s="129"/>
      <c r="N249" s="129"/>
      <c r="O249" s="129"/>
      <c r="P249" s="129"/>
    </row>
    <row r="250" spans="1:16" s="1" customFormat="1" ht="38.25" x14ac:dyDescent="0.2">
      <c r="A250" s="1" t="s">
        <v>1385</v>
      </c>
      <c r="B250" s="1" t="s">
        <v>1386</v>
      </c>
      <c r="C250" s="1" t="s">
        <v>1397</v>
      </c>
      <c r="D250" s="130" t="s">
        <v>413</v>
      </c>
      <c r="E250" s="131" t="s">
        <v>414</v>
      </c>
      <c r="F250" s="131" t="s">
        <v>415</v>
      </c>
      <c r="G250" s="132" t="s">
        <v>21</v>
      </c>
      <c r="H250" s="133">
        <v>3.0053000000000001</v>
      </c>
      <c r="I250" s="133"/>
      <c r="J250" s="129"/>
      <c r="K250" s="129"/>
      <c r="L250" s="129"/>
      <c r="M250" s="129"/>
      <c r="N250" s="129"/>
      <c r="O250" s="129"/>
      <c r="P250" s="129"/>
    </row>
    <row r="251" spans="1:16" s="14" customFormat="1" x14ac:dyDescent="0.2">
      <c r="A251" s="1" t="s">
        <v>1385</v>
      </c>
      <c r="B251" s="1" t="s">
        <v>1386</v>
      </c>
      <c r="C251" s="1" t="s">
        <v>24</v>
      </c>
      <c r="D251" s="134" t="s">
        <v>416</v>
      </c>
      <c r="E251" s="135" t="s">
        <v>18</v>
      </c>
      <c r="F251" s="136" t="s">
        <v>23</v>
      </c>
      <c r="G251" s="135" t="s">
        <v>24</v>
      </c>
      <c r="H251" s="137">
        <v>40.65</v>
      </c>
      <c r="I251" s="137">
        <v>122.16540000000001</v>
      </c>
      <c r="J251" s="129">
        <v>22914.53</v>
      </c>
      <c r="K251" s="129">
        <f>+J251*I251</f>
        <v>2799362.7232619999</v>
      </c>
      <c r="L251" s="129">
        <f>+I251*J251</f>
        <v>2799362.7232619999</v>
      </c>
      <c r="M251" s="129"/>
      <c r="N251" s="129"/>
      <c r="O251" s="129"/>
      <c r="P251" s="129"/>
    </row>
    <row r="252" spans="1:16" s="16" customFormat="1" x14ac:dyDescent="0.2">
      <c r="A252" s="1" t="s">
        <v>1385</v>
      </c>
      <c r="B252" s="1" t="s">
        <v>1386</v>
      </c>
      <c r="C252" s="1" t="s">
        <v>1399</v>
      </c>
      <c r="D252" s="142" t="s">
        <v>417</v>
      </c>
      <c r="E252" s="143" t="s">
        <v>418</v>
      </c>
      <c r="F252" s="144" t="s">
        <v>419</v>
      </c>
      <c r="G252" s="143" t="s">
        <v>420</v>
      </c>
      <c r="H252" s="146">
        <v>2.04</v>
      </c>
      <c r="I252" s="146">
        <v>6.1307999999999998</v>
      </c>
      <c r="J252" s="129">
        <v>325500</v>
      </c>
      <c r="K252" s="129">
        <f>+J252*I252</f>
        <v>1995575.4</v>
      </c>
      <c r="L252" s="129"/>
      <c r="M252" s="129"/>
      <c r="N252" s="129">
        <f>+I252*J252</f>
        <v>1995575.4</v>
      </c>
      <c r="O252" s="129"/>
      <c r="P252" s="129"/>
    </row>
    <row r="253" spans="1:16" ht="15.75" x14ac:dyDescent="0.25">
      <c r="A253" s="1" t="s">
        <v>1385</v>
      </c>
      <c r="B253" s="1" t="s">
        <v>1386</v>
      </c>
      <c r="C253" s="1"/>
      <c r="D253" s="127" t="s">
        <v>421</v>
      </c>
      <c r="E253" s="128"/>
      <c r="F253" s="128"/>
      <c r="G253" s="128"/>
      <c r="H253" s="128"/>
      <c r="I253" s="128"/>
      <c r="J253" s="129"/>
      <c r="K253" s="129"/>
      <c r="L253" s="129"/>
      <c r="M253" s="129"/>
      <c r="N253" s="129"/>
      <c r="O253" s="129"/>
      <c r="P253" s="129"/>
    </row>
    <row r="254" spans="1:16" ht="15.75" x14ac:dyDescent="0.25">
      <c r="A254" s="1" t="s">
        <v>1385</v>
      </c>
      <c r="B254" s="1" t="s">
        <v>1386</v>
      </c>
      <c r="C254" s="1"/>
      <c r="D254" s="127" t="s">
        <v>422</v>
      </c>
      <c r="E254" s="128"/>
      <c r="F254" s="128"/>
      <c r="G254" s="128"/>
      <c r="H254" s="128"/>
      <c r="I254" s="128"/>
      <c r="J254" s="129"/>
      <c r="K254" s="129"/>
      <c r="L254" s="129"/>
      <c r="M254" s="129"/>
      <c r="N254" s="129"/>
      <c r="O254" s="129"/>
      <c r="P254" s="129"/>
    </row>
    <row r="255" spans="1:16" s="1" customFormat="1" ht="51" x14ac:dyDescent="0.2">
      <c r="A255" s="1" t="s">
        <v>1385</v>
      </c>
      <c r="B255" s="1" t="s">
        <v>1386</v>
      </c>
      <c r="C255" s="1" t="s">
        <v>1397</v>
      </c>
      <c r="D255" s="130" t="s">
        <v>423</v>
      </c>
      <c r="E255" s="131" t="s">
        <v>424</v>
      </c>
      <c r="F255" s="131" t="s">
        <v>425</v>
      </c>
      <c r="G255" s="132" t="s">
        <v>426</v>
      </c>
      <c r="H255" s="133">
        <v>4.7859999999999996</v>
      </c>
      <c r="I255" s="133"/>
      <c r="J255" s="129"/>
      <c r="K255" s="129"/>
      <c r="L255" s="129"/>
      <c r="M255" s="129"/>
      <c r="N255" s="129"/>
      <c r="O255" s="129"/>
      <c r="P255" s="129"/>
    </row>
    <row r="256" spans="1:16" s="14" customFormat="1" x14ac:dyDescent="0.2">
      <c r="A256" s="1" t="s">
        <v>1385</v>
      </c>
      <c r="B256" s="1" t="s">
        <v>1386</v>
      </c>
      <c r="C256" s="1" t="s">
        <v>24</v>
      </c>
      <c r="D256" s="134" t="s">
        <v>427</v>
      </c>
      <c r="E256" s="135" t="s">
        <v>18</v>
      </c>
      <c r="F256" s="136" t="s">
        <v>23</v>
      </c>
      <c r="G256" s="135" t="s">
        <v>24</v>
      </c>
      <c r="H256" s="137">
        <v>9.4700000000000006</v>
      </c>
      <c r="I256" s="137">
        <v>45.323399999999999</v>
      </c>
      <c r="J256" s="129">
        <v>22914.53</v>
      </c>
      <c r="K256" s="129">
        <f>+J256*I256</f>
        <v>1038564.4090019999</v>
      </c>
      <c r="L256" s="129">
        <f>+I256*J256</f>
        <v>1038564.4090019999</v>
      </c>
      <c r="M256" s="129"/>
      <c r="N256" s="129"/>
      <c r="O256" s="129"/>
      <c r="P256" s="129"/>
    </row>
    <row r="257" spans="1:16" s="15" customFormat="1" x14ac:dyDescent="0.2">
      <c r="A257" s="1" t="s">
        <v>1385</v>
      </c>
      <c r="B257" s="1" t="s">
        <v>1386</v>
      </c>
      <c r="C257" s="1" t="s">
        <v>28</v>
      </c>
      <c r="D257" s="138" t="s">
        <v>428</v>
      </c>
      <c r="E257" s="139" t="s">
        <v>30</v>
      </c>
      <c r="F257" s="140" t="s">
        <v>31</v>
      </c>
      <c r="G257" s="139" t="s">
        <v>28</v>
      </c>
      <c r="H257" s="141">
        <v>0.31</v>
      </c>
      <c r="I257" s="141">
        <v>1.4837</v>
      </c>
      <c r="J257" s="129">
        <v>106655</v>
      </c>
      <c r="K257" s="129">
        <f>+J257*I257</f>
        <v>158244.02350000001</v>
      </c>
      <c r="L257" s="129"/>
      <c r="M257" s="129">
        <f>+J257*I257</f>
        <v>158244.02350000001</v>
      </c>
      <c r="N257" s="129"/>
      <c r="O257" s="129"/>
      <c r="P257" s="129"/>
    </row>
    <row r="258" spans="1:16" s="1" customFormat="1" x14ac:dyDescent="0.2">
      <c r="A258" s="1" t="s">
        <v>1385</v>
      </c>
      <c r="B258" s="1" t="s">
        <v>1386</v>
      </c>
      <c r="C258" s="1" t="s">
        <v>1399</v>
      </c>
      <c r="D258" s="130" t="s">
        <v>429</v>
      </c>
      <c r="E258" s="131" t="s">
        <v>430</v>
      </c>
      <c r="F258" s="131" t="s">
        <v>431</v>
      </c>
      <c r="G258" s="132" t="s">
        <v>38</v>
      </c>
      <c r="H258" s="133">
        <v>239.3</v>
      </c>
      <c r="I258" s="133">
        <f>+H258</f>
        <v>239.3</v>
      </c>
      <c r="J258" s="129">
        <v>18032.14</v>
      </c>
      <c r="K258" s="129">
        <f>+J258*I258</f>
        <v>4315091.102</v>
      </c>
      <c r="L258" s="129"/>
      <c r="M258" s="129"/>
      <c r="N258" s="129">
        <f>+J258*I258</f>
        <v>4315091.102</v>
      </c>
      <c r="O258" s="129"/>
      <c r="P258" s="129"/>
    </row>
    <row r="259" spans="1:16" s="1" customFormat="1" x14ac:dyDescent="0.2">
      <c r="A259" s="1" t="s">
        <v>1385</v>
      </c>
      <c r="B259" s="1" t="s">
        <v>1386</v>
      </c>
      <c r="C259" s="1" t="s">
        <v>1397</v>
      </c>
      <c r="D259" s="130" t="s">
        <v>432</v>
      </c>
      <c r="E259" s="131" t="s">
        <v>433</v>
      </c>
      <c r="F259" s="131" t="s">
        <v>434</v>
      </c>
      <c r="G259" s="132" t="s">
        <v>107</v>
      </c>
      <c r="H259" s="133">
        <v>0.36852200000000002</v>
      </c>
      <c r="I259" s="133"/>
      <c r="J259" s="129"/>
      <c r="K259" s="129"/>
      <c r="L259" s="129"/>
      <c r="M259" s="129"/>
      <c r="N259" s="129"/>
      <c r="O259" s="129"/>
      <c r="P259" s="129"/>
    </row>
    <row r="260" spans="1:16" s="14" customFormat="1" x14ac:dyDescent="0.2">
      <c r="A260" s="1" t="s">
        <v>1385</v>
      </c>
      <c r="B260" s="1" t="s">
        <v>1386</v>
      </c>
      <c r="C260" s="1" t="s">
        <v>24</v>
      </c>
      <c r="D260" s="134" t="s">
        <v>435</v>
      </c>
      <c r="E260" s="135" t="s">
        <v>18</v>
      </c>
      <c r="F260" s="136" t="s">
        <v>23</v>
      </c>
      <c r="G260" s="135" t="s">
        <v>24</v>
      </c>
      <c r="H260" s="137">
        <v>12.64</v>
      </c>
      <c r="I260" s="137">
        <v>4.6581000000000001</v>
      </c>
      <c r="J260" s="129">
        <v>22914.53</v>
      </c>
      <c r="K260" s="129">
        <f>+J260*I260</f>
        <v>106738.17219299999</v>
      </c>
      <c r="L260" s="129">
        <f>+I260*J260</f>
        <v>106738.17219299999</v>
      </c>
      <c r="M260" s="129"/>
      <c r="N260" s="129"/>
      <c r="O260" s="129"/>
      <c r="P260" s="129"/>
    </row>
    <row r="261" spans="1:16" s="15" customFormat="1" x14ac:dyDescent="0.2">
      <c r="A261" s="1" t="s">
        <v>1385</v>
      </c>
      <c r="B261" s="1" t="s">
        <v>1386</v>
      </c>
      <c r="C261" s="1" t="s">
        <v>28</v>
      </c>
      <c r="D261" s="138" t="s">
        <v>436</v>
      </c>
      <c r="E261" s="139" t="s">
        <v>30</v>
      </c>
      <c r="F261" s="140" t="s">
        <v>31</v>
      </c>
      <c r="G261" s="139" t="s">
        <v>28</v>
      </c>
      <c r="H261" s="141">
        <v>0.22</v>
      </c>
      <c r="I261" s="141">
        <v>8.1074999999999994E-2</v>
      </c>
      <c r="J261" s="129">
        <v>106655</v>
      </c>
      <c r="K261" s="129">
        <f>+J261*I261</f>
        <v>8647.0541249999987</v>
      </c>
      <c r="L261" s="129"/>
      <c r="M261" s="129">
        <f>+J261*I261</f>
        <v>8647.0541249999987</v>
      </c>
      <c r="N261" s="129"/>
      <c r="O261" s="129"/>
      <c r="P261" s="129"/>
    </row>
    <row r="262" spans="1:16" s="16" customFormat="1" x14ac:dyDescent="0.2">
      <c r="A262" s="1" t="s">
        <v>1385</v>
      </c>
      <c r="B262" s="1" t="s">
        <v>1386</v>
      </c>
      <c r="C262" s="1" t="s">
        <v>1399</v>
      </c>
      <c r="D262" s="142" t="s">
        <v>437</v>
      </c>
      <c r="E262" s="143" t="s">
        <v>438</v>
      </c>
      <c r="F262" s="144" t="s">
        <v>439</v>
      </c>
      <c r="G262" s="143" t="s">
        <v>107</v>
      </c>
      <c r="H262" s="145">
        <v>1</v>
      </c>
      <c r="I262" s="146">
        <v>0.36852200000000002</v>
      </c>
      <c r="J262" s="129">
        <v>8036000</v>
      </c>
      <c r="K262" s="129">
        <f>+J262*I262</f>
        <v>2961442.7919999999</v>
      </c>
      <c r="L262" s="129"/>
      <c r="M262" s="129"/>
      <c r="N262" s="129">
        <f>+I262*J262</f>
        <v>2961442.7919999999</v>
      </c>
      <c r="O262" s="129"/>
      <c r="P262" s="129"/>
    </row>
    <row r="263" spans="1:16" s="16" customFormat="1" x14ac:dyDescent="0.2">
      <c r="A263" s="1" t="s">
        <v>1385</v>
      </c>
      <c r="B263" s="1" t="s">
        <v>1386</v>
      </c>
      <c r="C263" s="1" t="s">
        <v>1399</v>
      </c>
      <c r="D263" s="142" t="s">
        <v>440</v>
      </c>
      <c r="E263" s="143" t="s">
        <v>441</v>
      </c>
      <c r="F263" s="144" t="s">
        <v>442</v>
      </c>
      <c r="G263" s="143" t="s">
        <v>107</v>
      </c>
      <c r="H263" s="146">
        <v>2.8000000000000001E-2</v>
      </c>
      <c r="I263" s="146">
        <v>1.0319E-2</v>
      </c>
      <c r="J263" s="129">
        <v>9500000</v>
      </c>
      <c r="K263" s="129">
        <f>+J263*I263</f>
        <v>98030.5</v>
      </c>
      <c r="L263" s="129"/>
      <c r="M263" s="129"/>
      <c r="N263" s="129">
        <f>+I263*J263</f>
        <v>98030.5</v>
      </c>
      <c r="O263" s="129"/>
      <c r="P263" s="129"/>
    </row>
    <row r="264" spans="1:16" s="1" customFormat="1" ht="38.25" x14ac:dyDescent="0.2">
      <c r="A264" s="1" t="s">
        <v>1385</v>
      </c>
      <c r="B264" s="1" t="s">
        <v>1386</v>
      </c>
      <c r="C264" s="1" t="s">
        <v>1397</v>
      </c>
      <c r="D264" s="130" t="s">
        <v>443</v>
      </c>
      <c r="E264" s="131" t="s">
        <v>444</v>
      </c>
      <c r="F264" s="131" t="s">
        <v>445</v>
      </c>
      <c r="G264" s="132" t="s">
        <v>21</v>
      </c>
      <c r="H264" s="133">
        <v>2.3929999999999998</v>
      </c>
      <c r="I264" s="133"/>
      <c r="J264" s="129"/>
      <c r="K264" s="129"/>
      <c r="L264" s="129"/>
      <c r="M264" s="129"/>
      <c r="N264" s="129"/>
      <c r="O264" s="129"/>
      <c r="P264" s="129"/>
    </row>
    <row r="265" spans="1:16" s="14" customFormat="1" x14ac:dyDescent="0.2">
      <c r="A265" s="1" t="s">
        <v>1385</v>
      </c>
      <c r="B265" s="1" t="s">
        <v>1386</v>
      </c>
      <c r="C265" s="1" t="s">
        <v>24</v>
      </c>
      <c r="D265" s="134" t="s">
        <v>446</v>
      </c>
      <c r="E265" s="135" t="s">
        <v>18</v>
      </c>
      <c r="F265" s="136" t="s">
        <v>23</v>
      </c>
      <c r="G265" s="135" t="s">
        <v>24</v>
      </c>
      <c r="H265" s="137">
        <v>39.51</v>
      </c>
      <c r="I265" s="137">
        <v>94.547399999999996</v>
      </c>
      <c r="J265" s="129">
        <v>22914.53</v>
      </c>
      <c r="K265" s="129">
        <f>+J265*I265</f>
        <v>2166509.2337219999</v>
      </c>
      <c r="L265" s="129">
        <f>+I265*J265</f>
        <v>2166509.2337219999</v>
      </c>
      <c r="M265" s="129"/>
      <c r="N265" s="129"/>
      <c r="O265" s="129"/>
      <c r="P265" s="129"/>
    </row>
    <row r="266" spans="1:16" s="16" customFormat="1" x14ac:dyDescent="0.2">
      <c r="A266" s="1" t="s">
        <v>1385</v>
      </c>
      <c r="B266" s="1" t="s">
        <v>1386</v>
      </c>
      <c r="C266" s="1" t="s">
        <v>1399</v>
      </c>
      <c r="D266" s="142" t="s">
        <v>447</v>
      </c>
      <c r="E266" s="143" t="s">
        <v>448</v>
      </c>
      <c r="F266" s="144" t="s">
        <v>449</v>
      </c>
      <c r="G266" s="143" t="s">
        <v>420</v>
      </c>
      <c r="H266" s="146">
        <v>2.04</v>
      </c>
      <c r="I266" s="146">
        <v>4.8817000000000004</v>
      </c>
      <c r="J266" s="129">
        <v>484821</v>
      </c>
      <c r="K266" s="129">
        <f>+J266*I266</f>
        <v>2366750.6757</v>
      </c>
      <c r="L266" s="129"/>
      <c r="M266" s="129"/>
      <c r="N266" s="129">
        <f>+I266*J266</f>
        <v>2366750.6757</v>
      </c>
      <c r="O266" s="129"/>
      <c r="P266" s="129"/>
    </row>
    <row r="267" spans="1:16" s="1" customFormat="1" ht="38.25" x14ac:dyDescent="0.2">
      <c r="A267" s="1" t="s">
        <v>1385</v>
      </c>
      <c r="B267" s="1" t="s">
        <v>1386</v>
      </c>
      <c r="C267" s="1" t="s">
        <v>1397</v>
      </c>
      <c r="D267" s="130" t="s">
        <v>450</v>
      </c>
      <c r="E267" s="131" t="s">
        <v>451</v>
      </c>
      <c r="F267" s="131" t="s">
        <v>452</v>
      </c>
      <c r="G267" s="132" t="s">
        <v>21</v>
      </c>
      <c r="H267" s="133">
        <v>2.3929999999999998</v>
      </c>
      <c r="I267" s="133"/>
      <c r="J267" s="129"/>
      <c r="K267" s="129"/>
      <c r="L267" s="129"/>
      <c r="M267" s="129"/>
      <c r="N267" s="129"/>
      <c r="O267" s="129"/>
      <c r="P267" s="129"/>
    </row>
    <row r="268" spans="1:16" s="14" customFormat="1" x14ac:dyDescent="0.2">
      <c r="A268" s="1" t="s">
        <v>1385</v>
      </c>
      <c r="B268" s="1" t="s">
        <v>1386</v>
      </c>
      <c r="C268" s="1" t="s">
        <v>24</v>
      </c>
      <c r="D268" s="134" t="s">
        <v>453</v>
      </c>
      <c r="E268" s="135" t="s">
        <v>18</v>
      </c>
      <c r="F268" s="136" t="s">
        <v>23</v>
      </c>
      <c r="G268" s="135" t="s">
        <v>24</v>
      </c>
      <c r="H268" s="147">
        <v>4</v>
      </c>
      <c r="I268" s="137">
        <v>9.5719999999999992</v>
      </c>
      <c r="J268" s="129">
        <v>22914.53</v>
      </c>
      <c r="K268" s="129">
        <f>+J268*I268</f>
        <v>219337.88115999996</v>
      </c>
      <c r="L268" s="129">
        <f>+I268*J268</f>
        <v>219337.88115999996</v>
      </c>
      <c r="M268" s="129"/>
      <c r="N268" s="129"/>
      <c r="O268" s="129"/>
      <c r="P268" s="129"/>
    </row>
    <row r="269" spans="1:16" s="16" customFormat="1" x14ac:dyDescent="0.2">
      <c r="A269" s="1" t="s">
        <v>1385</v>
      </c>
      <c r="B269" s="1" t="s">
        <v>1386</v>
      </c>
      <c r="C269" s="1" t="s">
        <v>1399</v>
      </c>
      <c r="D269" s="142" t="s">
        <v>454</v>
      </c>
      <c r="E269" s="143" t="s">
        <v>448</v>
      </c>
      <c r="F269" s="144" t="s">
        <v>449</v>
      </c>
      <c r="G269" s="143" t="s">
        <v>420</v>
      </c>
      <c r="H269" s="146">
        <v>4.08</v>
      </c>
      <c r="I269" s="146">
        <v>9.7634000000000007</v>
      </c>
      <c r="J269" s="129">
        <v>484821</v>
      </c>
      <c r="K269" s="129">
        <f>+J269*I269</f>
        <v>4733501.3514</v>
      </c>
      <c r="L269" s="129"/>
      <c r="M269" s="129"/>
      <c r="N269" s="129">
        <f>+I269*J269</f>
        <v>4733501.3514</v>
      </c>
      <c r="O269" s="129"/>
      <c r="P269" s="129"/>
    </row>
    <row r="270" spans="1:16" s="1" customFormat="1" ht="38.25" x14ac:dyDescent="0.2">
      <c r="A270" s="1" t="s">
        <v>1385</v>
      </c>
      <c r="B270" s="1" t="s">
        <v>1386</v>
      </c>
      <c r="C270" s="1" t="s">
        <v>1397</v>
      </c>
      <c r="D270" s="130" t="s">
        <v>455</v>
      </c>
      <c r="E270" s="131" t="s">
        <v>456</v>
      </c>
      <c r="F270" s="131" t="s">
        <v>457</v>
      </c>
      <c r="G270" s="132" t="s">
        <v>21</v>
      </c>
      <c r="H270" s="133">
        <v>2.3929999999999998</v>
      </c>
      <c r="I270" s="133"/>
      <c r="J270" s="129"/>
      <c r="K270" s="129"/>
      <c r="L270" s="129"/>
      <c r="M270" s="129"/>
      <c r="N270" s="129"/>
      <c r="O270" s="129"/>
      <c r="P270" s="129"/>
    </row>
    <row r="271" spans="1:16" s="14" customFormat="1" x14ac:dyDescent="0.2">
      <c r="A271" s="1" t="s">
        <v>1385</v>
      </c>
      <c r="B271" s="1" t="s">
        <v>1386</v>
      </c>
      <c r="C271" s="1" t="s">
        <v>24</v>
      </c>
      <c r="D271" s="134" t="s">
        <v>458</v>
      </c>
      <c r="E271" s="135" t="s">
        <v>18</v>
      </c>
      <c r="F271" s="136" t="s">
        <v>23</v>
      </c>
      <c r="G271" s="135" t="s">
        <v>24</v>
      </c>
      <c r="H271" s="137">
        <v>19.84</v>
      </c>
      <c r="I271" s="137">
        <v>47.4771</v>
      </c>
      <c r="J271" s="129">
        <v>22914.53</v>
      </c>
      <c r="K271" s="129">
        <f>+J271*I271</f>
        <v>1087915.4322629999</v>
      </c>
      <c r="L271" s="129">
        <f>+I271*J271</f>
        <v>1087915.4322629999</v>
      </c>
      <c r="M271" s="129"/>
      <c r="N271" s="129"/>
      <c r="O271" s="129"/>
      <c r="P271" s="129"/>
    </row>
    <row r="272" spans="1:16" s="15" customFormat="1" x14ac:dyDescent="0.2">
      <c r="A272" s="1" t="s">
        <v>1385</v>
      </c>
      <c r="B272" s="1" t="s">
        <v>1386</v>
      </c>
      <c r="C272" s="1" t="s">
        <v>28</v>
      </c>
      <c r="D272" s="138" t="s">
        <v>459</v>
      </c>
      <c r="E272" s="139" t="s">
        <v>30</v>
      </c>
      <c r="F272" s="140" t="s">
        <v>31</v>
      </c>
      <c r="G272" s="139" t="s">
        <v>28</v>
      </c>
      <c r="H272" s="141">
        <v>0.27</v>
      </c>
      <c r="I272" s="141">
        <v>0.64610999999999996</v>
      </c>
      <c r="J272" s="129">
        <v>106655</v>
      </c>
      <c r="K272" s="129">
        <f>+J272*I272</f>
        <v>68910.862049999996</v>
      </c>
      <c r="L272" s="129"/>
      <c r="M272" s="129">
        <f>+J272*I272</f>
        <v>68910.862049999996</v>
      </c>
      <c r="N272" s="129"/>
      <c r="O272" s="129"/>
      <c r="P272" s="129"/>
    </row>
    <row r="273" spans="1:16" s="16" customFormat="1" x14ac:dyDescent="0.2">
      <c r="A273" s="1" t="s">
        <v>1385</v>
      </c>
      <c r="B273" s="1" t="s">
        <v>1386</v>
      </c>
      <c r="C273" s="1" t="s">
        <v>1399</v>
      </c>
      <c r="D273" s="142" t="s">
        <v>460</v>
      </c>
      <c r="E273" s="143" t="s">
        <v>461</v>
      </c>
      <c r="F273" s="144" t="s">
        <v>462</v>
      </c>
      <c r="G273" s="143" t="s">
        <v>38</v>
      </c>
      <c r="H273" s="145">
        <v>102</v>
      </c>
      <c r="I273" s="146">
        <v>244.08600000000001</v>
      </c>
      <c r="J273" s="129">
        <v>2000</v>
      </c>
      <c r="K273" s="129">
        <f>+J273*I273</f>
        <v>488172</v>
      </c>
      <c r="L273" s="129"/>
      <c r="M273" s="129"/>
      <c r="N273" s="129">
        <f>+I273*J273</f>
        <v>488172</v>
      </c>
      <c r="O273" s="129"/>
      <c r="P273" s="129"/>
    </row>
    <row r="274" spans="1:16" s="16" customFormat="1" x14ac:dyDescent="0.2">
      <c r="A274" s="1" t="s">
        <v>1385</v>
      </c>
      <c r="B274" s="1" t="s">
        <v>1386</v>
      </c>
      <c r="C274" s="1" t="s">
        <v>1399</v>
      </c>
      <c r="D274" s="142" t="s">
        <v>463</v>
      </c>
      <c r="E274" s="143" t="s">
        <v>464</v>
      </c>
      <c r="F274" s="144" t="s">
        <v>465</v>
      </c>
      <c r="G274" s="143" t="s">
        <v>38</v>
      </c>
      <c r="H274" s="145">
        <v>104</v>
      </c>
      <c r="I274" s="146">
        <v>248.87200000000001</v>
      </c>
      <c r="J274" s="129">
        <v>71428.57142857142</v>
      </c>
      <c r="K274" s="129">
        <f>+J274*I274</f>
        <v>17776571.428571429</v>
      </c>
      <c r="L274" s="129"/>
      <c r="M274" s="129"/>
      <c r="N274" s="129">
        <f>+I274*J274</f>
        <v>17776571.428571429</v>
      </c>
      <c r="O274" s="129"/>
      <c r="P274" s="129"/>
    </row>
    <row r="275" spans="1:16" ht="15.75" x14ac:dyDescent="0.25">
      <c r="A275" s="1" t="s">
        <v>1385</v>
      </c>
      <c r="B275" s="1" t="s">
        <v>1386</v>
      </c>
      <c r="C275" s="1"/>
      <c r="D275" s="127" t="s">
        <v>466</v>
      </c>
      <c r="E275" s="128"/>
      <c r="F275" s="128"/>
      <c r="G275" s="128"/>
      <c r="H275" s="128"/>
      <c r="I275" s="128"/>
      <c r="J275" s="129"/>
      <c r="K275" s="129"/>
      <c r="L275" s="129"/>
      <c r="M275" s="129"/>
      <c r="N275" s="129"/>
      <c r="O275" s="129"/>
      <c r="P275" s="129"/>
    </row>
    <row r="276" spans="1:16" s="1" customFormat="1" ht="38.25" x14ac:dyDescent="0.2">
      <c r="A276" s="1" t="s">
        <v>1385</v>
      </c>
      <c r="B276" s="1" t="s">
        <v>1386</v>
      </c>
      <c r="C276" s="1" t="s">
        <v>1397</v>
      </c>
      <c r="D276" s="130" t="s">
        <v>467</v>
      </c>
      <c r="E276" s="131" t="s">
        <v>468</v>
      </c>
      <c r="F276" s="131" t="s">
        <v>469</v>
      </c>
      <c r="G276" s="132" t="s">
        <v>21</v>
      </c>
      <c r="H276" s="133">
        <v>0.1968</v>
      </c>
      <c r="I276" s="133"/>
      <c r="J276" s="129"/>
      <c r="K276" s="129"/>
      <c r="L276" s="129"/>
      <c r="M276" s="129"/>
      <c r="N276" s="129"/>
      <c r="O276" s="129"/>
      <c r="P276" s="129"/>
    </row>
    <row r="277" spans="1:16" s="14" customFormat="1" x14ac:dyDescent="0.2">
      <c r="A277" s="1" t="s">
        <v>1385</v>
      </c>
      <c r="B277" s="1" t="s">
        <v>1386</v>
      </c>
      <c r="C277" s="1" t="s">
        <v>24</v>
      </c>
      <c r="D277" s="134" t="s">
        <v>470</v>
      </c>
      <c r="E277" s="135" t="s">
        <v>18</v>
      </c>
      <c r="F277" s="136" t="s">
        <v>23</v>
      </c>
      <c r="G277" s="135" t="s">
        <v>24</v>
      </c>
      <c r="H277" s="137">
        <v>41.67</v>
      </c>
      <c r="I277" s="137">
        <v>8.2006999999999994</v>
      </c>
      <c r="J277" s="129">
        <v>22914.53</v>
      </c>
      <c r="K277" s="129">
        <f t="shared" ref="K277:K283" si="10">+J277*I277</f>
        <v>187915.18617099998</v>
      </c>
      <c r="L277" s="129">
        <f>+I277*J277</f>
        <v>187915.18617099998</v>
      </c>
      <c r="M277" s="129"/>
      <c r="N277" s="129"/>
      <c r="O277" s="129"/>
      <c r="P277" s="129"/>
    </row>
    <row r="278" spans="1:16" s="15" customFormat="1" x14ac:dyDescent="0.2">
      <c r="A278" s="1" t="s">
        <v>1385</v>
      </c>
      <c r="B278" s="1" t="s">
        <v>1386</v>
      </c>
      <c r="C278" s="1" t="s">
        <v>28</v>
      </c>
      <c r="D278" s="138" t="s">
        <v>471</v>
      </c>
      <c r="E278" s="139" t="s">
        <v>472</v>
      </c>
      <c r="F278" s="140" t="s">
        <v>473</v>
      </c>
      <c r="G278" s="139" t="s">
        <v>28</v>
      </c>
      <c r="H278" s="141">
        <v>15.16</v>
      </c>
      <c r="I278" s="141">
        <v>2.9834999999999998</v>
      </c>
      <c r="J278" s="129">
        <v>235</v>
      </c>
      <c r="K278" s="129">
        <f t="shared" si="10"/>
        <v>701.12249999999995</v>
      </c>
      <c r="L278" s="129"/>
      <c r="M278" s="129">
        <f>+J278*I278</f>
        <v>701.12249999999995</v>
      </c>
      <c r="N278" s="129"/>
      <c r="O278" s="129"/>
      <c r="P278" s="129"/>
    </row>
    <row r="279" spans="1:16" s="15" customFormat="1" x14ac:dyDescent="0.2">
      <c r="A279" s="1" t="s">
        <v>1385</v>
      </c>
      <c r="B279" s="1" t="s">
        <v>1386</v>
      </c>
      <c r="C279" s="1" t="s">
        <v>28</v>
      </c>
      <c r="D279" s="138" t="s">
        <v>474</v>
      </c>
      <c r="E279" s="139" t="s">
        <v>475</v>
      </c>
      <c r="F279" s="140" t="s">
        <v>476</v>
      </c>
      <c r="G279" s="139" t="s">
        <v>28</v>
      </c>
      <c r="H279" s="141">
        <v>2.34</v>
      </c>
      <c r="I279" s="141">
        <v>0.46051199999999998</v>
      </c>
      <c r="J279" s="129">
        <v>6311</v>
      </c>
      <c r="K279" s="129">
        <f t="shared" si="10"/>
        <v>2906.291232</v>
      </c>
      <c r="L279" s="129"/>
      <c r="M279" s="129">
        <f>+J279*I279</f>
        <v>2906.291232</v>
      </c>
      <c r="N279" s="129"/>
      <c r="O279" s="129"/>
      <c r="P279" s="129"/>
    </row>
    <row r="280" spans="1:16" s="15" customFormat="1" x14ac:dyDescent="0.2">
      <c r="A280" s="1" t="s">
        <v>1385</v>
      </c>
      <c r="B280" s="1" t="s">
        <v>1386</v>
      </c>
      <c r="C280" s="1" t="s">
        <v>28</v>
      </c>
      <c r="D280" s="138" t="s">
        <v>477</v>
      </c>
      <c r="E280" s="139" t="s">
        <v>30</v>
      </c>
      <c r="F280" s="140" t="s">
        <v>31</v>
      </c>
      <c r="G280" s="139" t="s">
        <v>28</v>
      </c>
      <c r="H280" s="141">
        <v>0.9</v>
      </c>
      <c r="I280" s="141">
        <v>0.17712</v>
      </c>
      <c r="J280" s="129">
        <v>106655</v>
      </c>
      <c r="K280" s="129">
        <f t="shared" si="10"/>
        <v>18890.7336</v>
      </c>
      <c r="L280" s="129"/>
      <c r="M280" s="129">
        <f>+J280*I280</f>
        <v>18890.7336</v>
      </c>
      <c r="N280" s="129"/>
      <c r="O280" s="129"/>
      <c r="P280" s="129"/>
    </row>
    <row r="281" spans="1:16" s="16" customFormat="1" x14ac:dyDescent="0.2">
      <c r="A281" s="1" t="s">
        <v>1385</v>
      </c>
      <c r="B281" s="1" t="s">
        <v>1386</v>
      </c>
      <c r="C281" s="1" t="s">
        <v>1399</v>
      </c>
      <c r="D281" s="142" t="s">
        <v>478</v>
      </c>
      <c r="E281" s="143" t="s">
        <v>479</v>
      </c>
      <c r="F281" s="144" t="s">
        <v>480</v>
      </c>
      <c r="G281" s="143" t="s">
        <v>38</v>
      </c>
      <c r="H281" s="145">
        <v>120</v>
      </c>
      <c r="I281" s="146">
        <v>23.616</v>
      </c>
      <c r="J281" s="129">
        <v>9000</v>
      </c>
      <c r="K281" s="129">
        <f t="shared" si="10"/>
        <v>212544</v>
      </c>
      <c r="L281" s="129"/>
      <c r="M281" s="129"/>
      <c r="N281" s="129">
        <f>+I281*J281</f>
        <v>212544</v>
      </c>
      <c r="O281" s="129"/>
      <c r="P281" s="129"/>
    </row>
    <row r="282" spans="1:16" s="16" customFormat="1" x14ac:dyDescent="0.2">
      <c r="A282" s="1" t="s">
        <v>1385</v>
      </c>
      <c r="B282" s="1" t="s">
        <v>1386</v>
      </c>
      <c r="C282" s="1" t="s">
        <v>1399</v>
      </c>
      <c r="D282" s="142" t="s">
        <v>481</v>
      </c>
      <c r="E282" s="143" t="s">
        <v>482</v>
      </c>
      <c r="F282" s="144" t="s">
        <v>483</v>
      </c>
      <c r="G282" s="143" t="s">
        <v>107</v>
      </c>
      <c r="H282" s="146">
        <v>0.25</v>
      </c>
      <c r="I282" s="146">
        <v>4.9200000000000001E-2</v>
      </c>
      <c r="J282" s="129">
        <v>8929000</v>
      </c>
      <c r="K282" s="129">
        <f t="shared" si="10"/>
        <v>439306.8</v>
      </c>
      <c r="L282" s="129"/>
      <c r="M282" s="129"/>
      <c r="N282" s="129">
        <f>+I282*J282</f>
        <v>439306.8</v>
      </c>
      <c r="O282" s="129"/>
      <c r="P282" s="129"/>
    </row>
    <row r="283" spans="1:16" s="16" customFormat="1" x14ac:dyDescent="0.2">
      <c r="A283" s="1" t="s">
        <v>1385</v>
      </c>
      <c r="B283" s="1" t="s">
        <v>1386</v>
      </c>
      <c r="C283" s="1" t="s">
        <v>1399</v>
      </c>
      <c r="D283" s="142" t="s">
        <v>484</v>
      </c>
      <c r="E283" s="143" t="s">
        <v>485</v>
      </c>
      <c r="F283" s="144" t="s">
        <v>486</v>
      </c>
      <c r="G283" s="143" t="s">
        <v>250</v>
      </c>
      <c r="H283" s="145">
        <v>30</v>
      </c>
      <c r="I283" s="146">
        <v>5.9039999999999999</v>
      </c>
      <c r="J283" s="129">
        <v>2500</v>
      </c>
      <c r="K283" s="129">
        <f t="shared" si="10"/>
        <v>14760</v>
      </c>
      <c r="L283" s="129"/>
      <c r="M283" s="129"/>
      <c r="N283" s="129">
        <f>+I283*J283</f>
        <v>14760</v>
      </c>
      <c r="O283" s="129"/>
      <c r="P283" s="129"/>
    </row>
    <row r="284" spans="1:16" s="1" customFormat="1" ht="38.25" x14ac:dyDescent="0.2">
      <c r="A284" s="1" t="s">
        <v>1385</v>
      </c>
      <c r="B284" s="1" t="s">
        <v>1386</v>
      </c>
      <c r="C284" s="1" t="s">
        <v>1397</v>
      </c>
      <c r="D284" s="130" t="s">
        <v>487</v>
      </c>
      <c r="E284" s="131" t="s">
        <v>488</v>
      </c>
      <c r="F284" s="131" t="s">
        <v>489</v>
      </c>
      <c r="G284" s="132" t="s">
        <v>21</v>
      </c>
      <c r="H284" s="133">
        <v>0.1968</v>
      </c>
      <c r="I284" s="133"/>
      <c r="J284" s="129"/>
      <c r="K284" s="129"/>
      <c r="L284" s="129"/>
      <c r="M284" s="129"/>
      <c r="N284" s="129"/>
      <c r="O284" s="129"/>
      <c r="P284" s="129"/>
    </row>
    <row r="285" spans="1:16" s="14" customFormat="1" x14ac:dyDescent="0.2">
      <c r="A285" s="1" t="s">
        <v>1385</v>
      </c>
      <c r="B285" s="1" t="s">
        <v>1386</v>
      </c>
      <c r="C285" s="1" t="s">
        <v>24</v>
      </c>
      <c r="D285" s="134" t="s">
        <v>490</v>
      </c>
      <c r="E285" s="135" t="s">
        <v>18</v>
      </c>
      <c r="F285" s="136" t="s">
        <v>23</v>
      </c>
      <c r="G285" s="135" t="s">
        <v>24</v>
      </c>
      <c r="H285" s="137">
        <v>23.43</v>
      </c>
      <c r="I285" s="137">
        <v>4.6109999999999998</v>
      </c>
      <c r="J285" s="129">
        <v>22914.53</v>
      </c>
      <c r="K285" s="129">
        <f t="shared" ref="K285:K290" si="11">+J285*I285</f>
        <v>105658.89782999999</v>
      </c>
      <c r="L285" s="129">
        <f>+I285*J285</f>
        <v>105658.89782999999</v>
      </c>
      <c r="M285" s="129"/>
      <c r="N285" s="129"/>
      <c r="O285" s="129"/>
      <c r="P285" s="129"/>
    </row>
    <row r="286" spans="1:16" s="15" customFormat="1" x14ac:dyDescent="0.2">
      <c r="A286" s="1" t="s">
        <v>1385</v>
      </c>
      <c r="B286" s="1" t="s">
        <v>1386</v>
      </c>
      <c r="C286" s="1" t="s">
        <v>28</v>
      </c>
      <c r="D286" s="138" t="s">
        <v>491</v>
      </c>
      <c r="E286" s="139" t="s">
        <v>472</v>
      </c>
      <c r="F286" s="140" t="s">
        <v>473</v>
      </c>
      <c r="G286" s="139" t="s">
        <v>28</v>
      </c>
      <c r="H286" s="141">
        <v>8.6999999999999993</v>
      </c>
      <c r="I286" s="141">
        <v>1.7121999999999999</v>
      </c>
      <c r="J286" s="129">
        <v>235</v>
      </c>
      <c r="K286" s="129">
        <f t="shared" si="11"/>
        <v>402.36699999999996</v>
      </c>
      <c r="L286" s="129"/>
      <c r="M286" s="129">
        <f>+J286*I286</f>
        <v>402.36699999999996</v>
      </c>
      <c r="N286" s="129"/>
      <c r="O286" s="129"/>
      <c r="P286" s="129"/>
    </row>
    <row r="287" spans="1:16" s="15" customFormat="1" x14ac:dyDescent="0.2">
      <c r="A287" s="1" t="s">
        <v>1385</v>
      </c>
      <c r="B287" s="1" t="s">
        <v>1386</v>
      </c>
      <c r="C287" s="1" t="s">
        <v>28</v>
      </c>
      <c r="D287" s="138" t="s">
        <v>492</v>
      </c>
      <c r="E287" s="139" t="s">
        <v>30</v>
      </c>
      <c r="F287" s="140" t="s">
        <v>31</v>
      </c>
      <c r="G287" s="139" t="s">
        <v>28</v>
      </c>
      <c r="H287" s="141">
        <v>0.63</v>
      </c>
      <c r="I287" s="141">
        <v>0.123984</v>
      </c>
      <c r="J287" s="129">
        <v>106655</v>
      </c>
      <c r="K287" s="129">
        <f t="shared" si="11"/>
        <v>13223.51352</v>
      </c>
      <c r="L287" s="129"/>
      <c r="M287" s="129">
        <f>+J287*I287</f>
        <v>13223.51352</v>
      </c>
      <c r="N287" s="129"/>
      <c r="O287" s="129"/>
      <c r="P287" s="129"/>
    </row>
    <row r="288" spans="1:16" s="16" customFormat="1" x14ac:dyDescent="0.2">
      <c r="A288" s="1" t="s">
        <v>1385</v>
      </c>
      <c r="B288" s="1" t="s">
        <v>1386</v>
      </c>
      <c r="C288" s="1" t="s">
        <v>1399</v>
      </c>
      <c r="D288" s="142" t="s">
        <v>493</v>
      </c>
      <c r="E288" s="143" t="s">
        <v>479</v>
      </c>
      <c r="F288" s="144" t="s">
        <v>480</v>
      </c>
      <c r="G288" s="143" t="s">
        <v>38</v>
      </c>
      <c r="H288" s="145">
        <v>120</v>
      </c>
      <c r="I288" s="146">
        <v>23.616</v>
      </c>
      <c r="J288" s="129">
        <v>9000</v>
      </c>
      <c r="K288" s="129">
        <f t="shared" si="11"/>
        <v>212544</v>
      </c>
      <c r="L288" s="129"/>
      <c r="M288" s="129"/>
      <c r="N288" s="129">
        <f>+I288*J288</f>
        <v>212544</v>
      </c>
      <c r="O288" s="129"/>
      <c r="P288" s="129"/>
    </row>
    <row r="289" spans="1:16" s="16" customFormat="1" x14ac:dyDescent="0.2">
      <c r="A289" s="1" t="s">
        <v>1385</v>
      </c>
      <c r="B289" s="1" t="s">
        <v>1386</v>
      </c>
      <c r="C289" s="1" t="s">
        <v>1399</v>
      </c>
      <c r="D289" s="142" t="s">
        <v>494</v>
      </c>
      <c r="E289" s="143" t="s">
        <v>482</v>
      </c>
      <c r="F289" s="144" t="s">
        <v>483</v>
      </c>
      <c r="G289" s="143" t="s">
        <v>107</v>
      </c>
      <c r="H289" s="146">
        <v>0.25</v>
      </c>
      <c r="I289" s="146">
        <v>4.9200000000000001E-2</v>
      </c>
      <c r="J289" s="129">
        <v>8929000</v>
      </c>
      <c r="K289" s="129">
        <f t="shared" si="11"/>
        <v>439306.8</v>
      </c>
      <c r="L289" s="129"/>
      <c r="M289" s="129"/>
      <c r="N289" s="129">
        <f>+I289*J289</f>
        <v>439306.8</v>
      </c>
      <c r="O289" s="129"/>
      <c r="P289" s="129"/>
    </row>
    <row r="290" spans="1:16" s="16" customFormat="1" x14ac:dyDescent="0.2">
      <c r="A290" s="1" t="s">
        <v>1385</v>
      </c>
      <c r="B290" s="1" t="s">
        <v>1386</v>
      </c>
      <c r="C290" s="1" t="s">
        <v>1399</v>
      </c>
      <c r="D290" s="142" t="s">
        <v>495</v>
      </c>
      <c r="E290" s="143" t="s">
        <v>485</v>
      </c>
      <c r="F290" s="144" t="s">
        <v>486</v>
      </c>
      <c r="G290" s="143" t="s">
        <v>250</v>
      </c>
      <c r="H290" s="145">
        <v>30</v>
      </c>
      <c r="I290" s="146">
        <v>5.9039999999999999</v>
      </c>
      <c r="J290" s="129">
        <v>2500</v>
      </c>
      <c r="K290" s="129">
        <f t="shared" si="11"/>
        <v>14760</v>
      </c>
      <c r="L290" s="129"/>
      <c r="M290" s="129"/>
      <c r="N290" s="129">
        <f>+I290*J290</f>
        <v>14760</v>
      </c>
      <c r="O290" s="129"/>
      <c r="P290" s="129"/>
    </row>
    <row r="291" spans="1:16" s="1" customFormat="1" ht="51" x14ac:dyDescent="0.2">
      <c r="A291" s="1" t="s">
        <v>1385</v>
      </c>
      <c r="B291" s="1" t="s">
        <v>1386</v>
      </c>
      <c r="C291" s="1" t="s">
        <v>1397</v>
      </c>
      <c r="D291" s="130" t="s">
        <v>496</v>
      </c>
      <c r="E291" s="131" t="s">
        <v>424</v>
      </c>
      <c r="F291" s="131" t="s">
        <v>425</v>
      </c>
      <c r="G291" s="132" t="s">
        <v>426</v>
      </c>
      <c r="H291" s="133">
        <v>0.39360000000000001</v>
      </c>
      <c r="I291" s="133"/>
      <c r="J291" s="129"/>
      <c r="K291" s="129"/>
      <c r="L291" s="129"/>
      <c r="M291" s="129"/>
      <c r="N291" s="129"/>
      <c r="O291" s="129"/>
      <c r="P291" s="129"/>
    </row>
    <row r="292" spans="1:16" s="14" customFormat="1" x14ac:dyDescent="0.2">
      <c r="A292" s="1" t="s">
        <v>1385</v>
      </c>
      <c r="B292" s="1" t="s">
        <v>1386</v>
      </c>
      <c r="C292" s="1" t="s">
        <v>24</v>
      </c>
      <c r="D292" s="134" t="s">
        <v>497</v>
      </c>
      <c r="E292" s="135" t="s">
        <v>18</v>
      </c>
      <c r="F292" s="136" t="s">
        <v>23</v>
      </c>
      <c r="G292" s="135" t="s">
        <v>24</v>
      </c>
      <c r="H292" s="137">
        <v>9.4700000000000006</v>
      </c>
      <c r="I292" s="137">
        <v>3.7273999999999998</v>
      </c>
      <c r="J292" s="129">
        <v>22914.53</v>
      </c>
      <c r="K292" s="129">
        <f>+J292*I292</f>
        <v>85411.619121999989</v>
      </c>
      <c r="L292" s="129">
        <f>+I292*J292</f>
        <v>85411.619121999989</v>
      </c>
      <c r="M292" s="129"/>
      <c r="N292" s="129"/>
      <c r="O292" s="129"/>
      <c r="P292" s="129"/>
    </row>
    <row r="293" spans="1:16" s="15" customFormat="1" x14ac:dyDescent="0.2">
      <c r="A293" s="1" t="s">
        <v>1385</v>
      </c>
      <c r="B293" s="1" t="s">
        <v>1386</v>
      </c>
      <c r="C293" s="1" t="s">
        <v>28</v>
      </c>
      <c r="D293" s="138" t="s">
        <v>498</v>
      </c>
      <c r="E293" s="139" t="s">
        <v>30</v>
      </c>
      <c r="F293" s="140" t="s">
        <v>31</v>
      </c>
      <c r="G293" s="139" t="s">
        <v>28</v>
      </c>
      <c r="H293" s="141">
        <v>0.31</v>
      </c>
      <c r="I293" s="141">
        <v>0.122016</v>
      </c>
      <c r="J293" s="129">
        <v>106655</v>
      </c>
      <c r="K293" s="129">
        <f>+J293*I293</f>
        <v>13013.616480000001</v>
      </c>
      <c r="L293" s="129"/>
      <c r="M293" s="129">
        <f>+J293*I293</f>
        <v>13013.616480000001</v>
      </c>
      <c r="N293" s="129"/>
      <c r="O293" s="129"/>
      <c r="P293" s="129"/>
    </row>
    <row r="294" spans="1:16" s="1" customFormat="1" x14ac:dyDescent="0.2">
      <c r="A294" s="1" t="s">
        <v>1385</v>
      </c>
      <c r="B294" s="1" t="s">
        <v>1386</v>
      </c>
      <c r="C294" s="1" t="s">
        <v>1399</v>
      </c>
      <c r="D294" s="130" t="s">
        <v>499</v>
      </c>
      <c r="E294" s="131" t="s">
        <v>500</v>
      </c>
      <c r="F294" s="131" t="s">
        <v>431</v>
      </c>
      <c r="G294" s="132" t="s">
        <v>38</v>
      </c>
      <c r="H294" s="133">
        <v>19.68</v>
      </c>
      <c r="I294" s="133">
        <f>+H294</f>
        <v>19.68</v>
      </c>
      <c r="J294" s="129">
        <v>18032.14</v>
      </c>
      <c r="K294" s="129">
        <f>+J294*I294</f>
        <v>354872.51519999997</v>
      </c>
      <c r="L294" s="129"/>
      <c r="M294" s="129"/>
      <c r="N294" s="129">
        <f>+J294*I294</f>
        <v>354872.51519999997</v>
      </c>
      <c r="O294" s="129"/>
      <c r="P294" s="129"/>
    </row>
    <row r="295" spans="1:16" s="1" customFormat="1" x14ac:dyDescent="0.2">
      <c r="A295" s="1" t="s">
        <v>1385</v>
      </c>
      <c r="B295" s="1" t="s">
        <v>1386</v>
      </c>
      <c r="C295" s="1" t="s">
        <v>1397</v>
      </c>
      <c r="D295" s="130" t="s">
        <v>501</v>
      </c>
      <c r="E295" s="131" t="s">
        <v>433</v>
      </c>
      <c r="F295" s="131" t="s">
        <v>434</v>
      </c>
      <c r="G295" s="132" t="s">
        <v>107</v>
      </c>
      <c r="H295" s="133">
        <v>3.0307000000000001E-2</v>
      </c>
      <c r="I295" s="133"/>
      <c r="J295" s="129"/>
      <c r="K295" s="129"/>
      <c r="L295" s="129"/>
      <c r="M295" s="129"/>
      <c r="N295" s="129"/>
      <c r="O295" s="129"/>
      <c r="P295" s="129"/>
    </row>
    <row r="296" spans="1:16" s="14" customFormat="1" x14ac:dyDescent="0.2">
      <c r="A296" s="1" t="s">
        <v>1385</v>
      </c>
      <c r="B296" s="1" t="s">
        <v>1386</v>
      </c>
      <c r="C296" s="1" t="s">
        <v>24</v>
      </c>
      <c r="D296" s="134" t="s">
        <v>502</v>
      </c>
      <c r="E296" s="135" t="s">
        <v>18</v>
      </c>
      <c r="F296" s="136" t="s">
        <v>23</v>
      </c>
      <c r="G296" s="135" t="s">
        <v>24</v>
      </c>
      <c r="H296" s="137">
        <v>12.64</v>
      </c>
      <c r="I296" s="137">
        <v>0.38307999999999998</v>
      </c>
      <c r="J296" s="129">
        <v>22914.53</v>
      </c>
      <c r="K296" s="129">
        <f>+J296*I296</f>
        <v>8778.0981523999999</v>
      </c>
      <c r="L296" s="129">
        <f>+I296*J296</f>
        <v>8778.0981523999999</v>
      </c>
      <c r="M296" s="129"/>
      <c r="N296" s="129"/>
      <c r="O296" s="129"/>
      <c r="P296" s="129"/>
    </row>
    <row r="297" spans="1:16" s="15" customFormat="1" x14ac:dyDescent="0.2">
      <c r="A297" s="1" t="s">
        <v>1385</v>
      </c>
      <c r="B297" s="1" t="s">
        <v>1386</v>
      </c>
      <c r="C297" s="1" t="s">
        <v>28</v>
      </c>
      <c r="D297" s="138" t="s">
        <v>503</v>
      </c>
      <c r="E297" s="139" t="s">
        <v>30</v>
      </c>
      <c r="F297" s="140" t="s">
        <v>31</v>
      </c>
      <c r="G297" s="139" t="s">
        <v>28</v>
      </c>
      <c r="H297" s="141">
        <v>0.22</v>
      </c>
      <c r="I297" s="141">
        <v>6.6680000000000003E-3</v>
      </c>
      <c r="J297" s="129">
        <v>106655</v>
      </c>
      <c r="K297" s="129">
        <f>+J297*I297</f>
        <v>711.17554000000007</v>
      </c>
      <c r="L297" s="129"/>
      <c r="M297" s="129">
        <f>+J297*I297</f>
        <v>711.17554000000007</v>
      </c>
      <c r="N297" s="129"/>
      <c r="O297" s="129"/>
      <c r="P297" s="129"/>
    </row>
    <row r="298" spans="1:16" s="16" customFormat="1" x14ac:dyDescent="0.2">
      <c r="A298" s="1" t="s">
        <v>1385</v>
      </c>
      <c r="B298" s="1" t="s">
        <v>1386</v>
      </c>
      <c r="C298" s="1" t="s">
        <v>1399</v>
      </c>
      <c r="D298" s="142" t="s">
        <v>504</v>
      </c>
      <c r="E298" s="143" t="s">
        <v>438</v>
      </c>
      <c r="F298" s="144" t="s">
        <v>439</v>
      </c>
      <c r="G298" s="143" t="s">
        <v>107</v>
      </c>
      <c r="H298" s="145">
        <v>1</v>
      </c>
      <c r="I298" s="146">
        <v>3.0307000000000001E-2</v>
      </c>
      <c r="J298" s="129">
        <v>8036000</v>
      </c>
      <c r="K298" s="129">
        <f>+J298*I298</f>
        <v>243547.052</v>
      </c>
      <c r="L298" s="129"/>
      <c r="M298" s="129"/>
      <c r="N298" s="129">
        <f>+I298*J298</f>
        <v>243547.052</v>
      </c>
      <c r="O298" s="129"/>
      <c r="P298" s="129"/>
    </row>
    <row r="299" spans="1:16" s="16" customFormat="1" x14ac:dyDescent="0.2">
      <c r="A299" s="1" t="s">
        <v>1385</v>
      </c>
      <c r="B299" s="1" t="s">
        <v>1386</v>
      </c>
      <c r="C299" s="1" t="s">
        <v>1399</v>
      </c>
      <c r="D299" s="142" t="s">
        <v>505</v>
      </c>
      <c r="E299" s="143" t="s">
        <v>441</v>
      </c>
      <c r="F299" s="144" t="s">
        <v>442</v>
      </c>
      <c r="G299" s="143" t="s">
        <v>107</v>
      </c>
      <c r="H299" s="146">
        <v>2.8000000000000001E-2</v>
      </c>
      <c r="I299" s="146">
        <v>8.4900000000000004E-4</v>
      </c>
      <c r="J299" s="129">
        <v>9500000</v>
      </c>
      <c r="K299" s="129">
        <f>+J299*I299</f>
        <v>8065.5</v>
      </c>
      <c r="L299" s="129"/>
      <c r="M299" s="129"/>
      <c r="N299" s="129">
        <f>+I299*J299</f>
        <v>8065.5</v>
      </c>
      <c r="O299" s="129"/>
      <c r="P299" s="129"/>
    </row>
    <row r="300" spans="1:16" s="1" customFormat="1" ht="23.25" customHeight="1" x14ac:dyDescent="0.2">
      <c r="A300" s="1" t="s">
        <v>1385</v>
      </c>
      <c r="B300" s="1" t="s">
        <v>1386</v>
      </c>
      <c r="C300" s="1" t="s">
        <v>1397</v>
      </c>
      <c r="D300" s="130" t="s">
        <v>506</v>
      </c>
      <c r="E300" s="131" t="s">
        <v>444</v>
      </c>
      <c r="F300" s="131" t="s">
        <v>445</v>
      </c>
      <c r="G300" s="132" t="s">
        <v>21</v>
      </c>
      <c r="H300" s="133">
        <v>0.1968</v>
      </c>
      <c r="I300" s="133"/>
      <c r="J300" s="129"/>
      <c r="K300" s="129"/>
      <c r="L300" s="129"/>
      <c r="M300" s="129"/>
      <c r="N300" s="129"/>
      <c r="O300" s="129"/>
      <c r="P300" s="129"/>
    </row>
    <row r="301" spans="1:16" s="14" customFormat="1" x14ac:dyDescent="0.2">
      <c r="A301" s="1" t="s">
        <v>1385</v>
      </c>
      <c r="B301" s="1" t="s">
        <v>1386</v>
      </c>
      <c r="C301" s="1" t="s">
        <v>24</v>
      </c>
      <c r="D301" s="134" t="s">
        <v>507</v>
      </c>
      <c r="E301" s="135" t="s">
        <v>18</v>
      </c>
      <c r="F301" s="136" t="s">
        <v>23</v>
      </c>
      <c r="G301" s="135" t="s">
        <v>24</v>
      </c>
      <c r="H301" s="137">
        <v>39.51</v>
      </c>
      <c r="I301" s="137">
        <v>7.7755999999999998</v>
      </c>
      <c r="J301" s="129">
        <v>22914.53</v>
      </c>
      <c r="K301" s="129">
        <f>+J301*I301</f>
        <v>178174.219468</v>
      </c>
      <c r="L301" s="129">
        <f>+I301*J301</f>
        <v>178174.219468</v>
      </c>
      <c r="M301" s="129"/>
      <c r="N301" s="129"/>
      <c r="O301" s="129"/>
      <c r="P301" s="129"/>
    </row>
    <row r="302" spans="1:16" s="16" customFormat="1" x14ac:dyDescent="0.2">
      <c r="A302" s="1" t="s">
        <v>1385</v>
      </c>
      <c r="B302" s="1" t="s">
        <v>1386</v>
      </c>
      <c r="C302" s="1" t="s">
        <v>1399</v>
      </c>
      <c r="D302" s="142" t="s">
        <v>508</v>
      </c>
      <c r="E302" s="143" t="s">
        <v>448</v>
      </c>
      <c r="F302" s="144" t="s">
        <v>449</v>
      </c>
      <c r="G302" s="143" t="s">
        <v>420</v>
      </c>
      <c r="H302" s="146">
        <v>2.04</v>
      </c>
      <c r="I302" s="146">
        <v>0.401472</v>
      </c>
      <c r="J302" s="129">
        <v>484821</v>
      </c>
      <c r="K302" s="129">
        <f>+J302*I302</f>
        <v>194642.05651200001</v>
      </c>
      <c r="L302" s="129"/>
      <c r="M302" s="129"/>
      <c r="N302" s="129">
        <f>+I302*J302</f>
        <v>194642.05651200001</v>
      </c>
      <c r="O302" s="129"/>
      <c r="P302" s="129"/>
    </row>
    <row r="303" spans="1:16" s="1" customFormat="1" ht="38.25" x14ac:dyDescent="0.2">
      <c r="A303" s="1" t="s">
        <v>1385</v>
      </c>
      <c r="B303" s="1" t="s">
        <v>1386</v>
      </c>
      <c r="C303" s="1" t="s">
        <v>1397</v>
      </c>
      <c r="D303" s="130" t="s">
        <v>509</v>
      </c>
      <c r="E303" s="131" t="s">
        <v>510</v>
      </c>
      <c r="F303" s="131" t="s">
        <v>452</v>
      </c>
      <c r="G303" s="132" t="s">
        <v>21</v>
      </c>
      <c r="H303" s="133">
        <v>0.1968</v>
      </c>
      <c r="I303" s="133"/>
      <c r="J303" s="129"/>
      <c r="K303" s="129"/>
      <c r="L303" s="129"/>
      <c r="M303" s="129"/>
      <c r="N303" s="129"/>
      <c r="O303" s="129"/>
      <c r="P303" s="129"/>
    </row>
    <row r="304" spans="1:16" s="14" customFormat="1" x14ac:dyDescent="0.2">
      <c r="A304" s="1" t="s">
        <v>1385</v>
      </c>
      <c r="B304" s="1" t="s">
        <v>1386</v>
      </c>
      <c r="C304" s="1" t="s">
        <v>24</v>
      </c>
      <c r="D304" s="134" t="s">
        <v>511</v>
      </c>
      <c r="E304" s="135" t="s">
        <v>18</v>
      </c>
      <c r="F304" s="136" t="s">
        <v>23</v>
      </c>
      <c r="G304" s="135" t="s">
        <v>24</v>
      </c>
      <c r="H304" s="147">
        <v>3</v>
      </c>
      <c r="I304" s="137">
        <v>0.59040000000000004</v>
      </c>
      <c r="J304" s="129">
        <v>22914.53</v>
      </c>
      <c r="K304" s="129">
        <f>+J304*I304</f>
        <v>13528.738512</v>
      </c>
      <c r="L304" s="129">
        <f>+I304*J304</f>
        <v>13528.738512</v>
      </c>
      <c r="M304" s="129"/>
      <c r="N304" s="129"/>
      <c r="O304" s="129"/>
      <c r="P304" s="129"/>
    </row>
    <row r="305" spans="1:16" s="16" customFormat="1" x14ac:dyDescent="0.2">
      <c r="A305" s="1" t="s">
        <v>1385</v>
      </c>
      <c r="B305" s="1" t="s">
        <v>1386</v>
      </c>
      <c r="C305" s="1" t="s">
        <v>1399</v>
      </c>
      <c r="D305" s="142" t="s">
        <v>512</v>
      </c>
      <c r="E305" s="143" t="s">
        <v>448</v>
      </c>
      <c r="F305" s="144" t="s">
        <v>449</v>
      </c>
      <c r="G305" s="143" t="s">
        <v>420</v>
      </c>
      <c r="H305" s="146">
        <v>3.06</v>
      </c>
      <c r="I305" s="146">
        <v>0.60220799999999997</v>
      </c>
      <c r="J305" s="129">
        <v>484821</v>
      </c>
      <c r="K305" s="129">
        <f>+J305*I305</f>
        <v>291963.084768</v>
      </c>
      <c r="L305" s="129"/>
      <c r="M305" s="129"/>
      <c r="N305" s="129">
        <f>+I305*J305</f>
        <v>291963.084768</v>
      </c>
      <c r="O305" s="129"/>
      <c r="P305" s="129"/>
    </row>
    <row r="306" spans="1:16" s="1" customFormat="1" ht="51" x14ac:dyDescent="0.2">
      <c r="A306" s="1" t="s">
        <v>1385</v>
      </c>
      <c r="B306" s="1" t="s">
        <v>1386</v>
      </c>
      <c r="C306" s="1" t="s">
        <v>1397</v>
      </c>
      <c r="D306" s="130" t="s">
        <v>513</v>
      </c>
      <c r="E306" s="131" t="s">
        <v>514</v>
      </c>
      <c r="F306" s="131" t="s">
        <v>515</v>
      </c>
      <c r="G306" s="132" t="s">
        <v>21</v>
      </c>
      <c r="H306" s="133">
        <v>0.1968</v>
      </c>
      <c r="I306" s="133"/>
      <c r="J306" s="129"/>
      <c r="K306" s="129"/>
      <c r="L306" s="129"/>
      <c r="M306" s="129"/>
      <c r="N306" s="129"/>
      <c r="O306" s="129"/>
      <c r="P306" s="129"/>
    </row>
    <row r="307" spans="1:16" s="14" customFormat="1" x14ac:dyDescent="0.2">
      <c r="A307" s="1" t="s">
        <v>1385</v>
      </c>
      <c r="B307" s="1" t="s">
        <v>1386</v>
      </c>
      <c r="C307" s="1" t="s">
        <v>24</v>
      </c>
      <c r="D307" s="134" t="s">
        <v>516</v>
      </c>
      <c r="E307" s="135" t="s">
        <v>18</v>
      </c>
      <c r="F307" s="136" t="s">
        <v>23</v>
      </c>
      <c r="G307" s="135" t="s">
        <v>24</v>
      </c>
      <c r="H307" s="137">
        <v>119.78</v>
      </c>
      <c r="I307" s="137">
        <v>23.572700000000001</v>
      </c>
      <c r="J307" s="129">
        <v>22914.53</v>
      </c>
      <c r="K307" s="129">
        <f t="shared" ref="K307:K312" si="12">+J307*I307</f>
        <v>540157.34133099997</v>
      </c>
      <c r="L307" s="129">
        <f>+I307*J307</f>
        <v>540157.34133099997</v>
      </c>
      <c r="M307" s="129"/>
      <c r="N307" s="129"/>
      <c r="O307" s="129"/>
      <c r="P307" s="129"/>
    </row>
    <row r="308" spans="1:16" s="15" customFormat="1" x14ac:dyDescent="0.2">
      <c r="A308" s="1" t="s">
        <v>1385</v>
      </c>
      <c r="B308" s="1" t="s">
        <v>1386</v>
      </c>
      <c r="C308" s="1" t="s">
        <v>28</v>
      </c>
      <c r="D308" s="138" t="s">
        <v>517</v>
      </c>
      <c r="E308" s="139" t="s">
        <v>30</v>
      </c>
      <c r="F308" s="140" t="s">
        <v>31</v>
      </c>
      <c r="G308" s="139" t="s">
        <v>28</v>
      </c>
      <c r="H308" s="141">
        <v>0.28000000000000003</v>
      </c>
      <c r="I308" s="141">
        <v>5.5104E-2</v>
      </c>
      <c r="J308" s="129">
        <v>106655</v>
      </c>
      <c r="K308" s="129">
        <f t="shared" si="12"/>
        <v>5877.1171199999999</v>
      </c>
      <c r="L308" s="129"/>
      <c r="M308" s="129">
        <f>+J308*I308</f>
        <v>5877.1171199999999</v>
      </c>
      <c r="N308" s="129"/>
      <c r="O308" s="129"/>
      <c r="P308" s="129"/>
    </row>
    <row r="309" spans="1:16" s="15" customFormat="1" x14ac:dyDescent="0.2">
      <c r="A309" s="1" t="s">
        <v>1385</v>
      </c>
      <c r="B309" s="1" t="s">
        <v>1386</v>
      </c>
      <c r="C309" s="1" t="s">
        <v>28</v>
      </c>
      <c r="D309" s="138" t="s">
        <v>518</v>
      </c>
      <c r="E309" s="139" t="s">
        <v>519</v>
      </c>
      <c r="F309" s="140" t="s">
        <v>520</v>
      </c>
      <c r="G309" s="139" t="s">
        <v>28</v>
      </c>
      <c r="H309" s="141">
        <v>1.56</v>
      </c>
      <c r="I309" s="141">
        <v>0.307008</v>
      </c>
      <c r="J309" s="129">
        <v>21745</v>
      </c>
      <c r="K309" s="129">
        <f t="shared" si="12"/>
        <v>6675.8889600000002</v>
      </c>
      <c r="L309" s="129"/>
      <c r="M309" s="129">
        <f>+J309*I309</f>
        <v>6675.8889600000002</v>
      </c>
      <c r="N309" s="129"/>
      <c r="O309" s="129"/>
      <c r="P309" s="129"/>
    </row>
    <row r="310" spans="1:16" s="16" customFormat="1" ht="24" x14ac:dyDescent="0.2">
      <c r="A310" s="1" t="s">
        <v>1385</v>
      </c>
      <c r="B310" s="1" t="s">
        <v>1386</v>
      </c>
      <c r="C310" s="1" t="s">
        <v>1399</v>
      </c>
      <c r="D310" s="142" t="s">
        <v>521</v>
      </c>
      <c r="E310" s="143" t="s">
        <v>522</v>
      </c>
      <c r="F310" s="144" t="s">
        <v>523</v>
      </c>
      <c r="G310" s="143" t="s">
        <v>38</v>
      </c>
      <c r="H310" s="145">
        <v>102</v>
      </c>
      <c r="I310" s="146">
        <v>20.073599999999999</v>
      </c>
      <c r="J310" s="129">
        <v>48000</v>
      </c>
      <c r="K310" s="129">
        <f t="shared" si="12"/>
        <v>963532.79999999993</v>
      </c>
      <c r="L310" s="129"/>
      <c r="M310" s="129"/>
      <c r="N310" s="129">
        <f>+I310*J310</f>
        <v>963532.79999999993</v>
      </c>
      <c r="O310" s="129"/>
      <c r="P310" s="129"/>
    </row>
    <row r="311" spans="1:16" s="16" customFormat="1" x14ac:dyDescent="0.2">
      <c r="A311" s="1" t="s">
        <v>1385</v>
      </c>
      <c r="B311" s="1" t="s">
        <v>1386</v>
      </c>
      <c r="C311" s="1" t="s">
        <v>1399</v>
      </c>
      <c r="D311" s="142" t="s">
        <v>524</v>
      </c>
      <c r="E311" s="143" t="s">
        <v>525</v>
      </c>
      <c r="F311" s="144" t="s">
        <v>526</v>
      </c>
      <c r="G311" s="143" t="s">
        <v>250</v>
      </c>
      <c r="H311" s="145">
        <v>450</v>
      </c>
      <c r="I311" s="146">
        <v>88.56</v>
      </c>
      <c r="J311" s="129">
        <v>1150</v>
      </c>
      <c r="K311" s="129">
        <f t="shared" si="12"/>
        <v>101844</v>
      </c>
      <c r="L311" s="129"/>
      <c r="M311" s="129"/>
      <c r="N311" s="129">
        <f>+I311*J311</f>
        <v>101844</v>
      </c>
      <c r="O311" s="129"/>
      <c r="P311" s="129"/>
    </row>
    <row r="312" spans="1:16" s="16" customFormat="1" x14ac:dyDescent="0.2">
      <c r="A312" s="1" t="s">
        <v>1385</v>
      </c>
      <c r="B312" s="1" t="s">
        <v>1386</v>
      </c>
      <c r="C312" s="1" t="s">
        <v>1399</v>
      </c>
      <c r="D312" s="142" t="s">
        <v>527</v>
      </c>
      <c r="E312" s="143" t="s">
        <v>528</v>
      </c>
      <c r="F312" s="144" t="s">
        <v>529</v>
      </c>
      <c r="G312" s="143" t="s">
        <v>107</v>
      </c>
      <c r="H312" s="146">
        <v>0.05</v>
      </c>
      <c r="I312" s="146">
        <v>9.8399999999999998E-3</v>
      </c>
      <c r="J312" s="129">
        <v>1150000</v>
      </c>
      <c r="K312" s="129">
        <f t="shared" si="12"/>
        <v>11316</v>
      </c>
      <c r="L312" s="129"/>
      <c r="M312" s="129"/>
      <c r="N312" s="129">
        <f>+I312*J312</f>
        <v>11316</v>
      </c>
      <c r="O312" s="129"/>
      <c r="P312" s="129"/>
    </row>
    <row r="313" spans="1:16" ht="15.75" x14ac:dyDescent="0.25">
      <c r="A313" s="1" t="s">
        <v>1385</v>
      </c>
      <c r="B313" s="1" t="s">
        <v>1386</v>
      </c>
      <c r="C313" s="1"/>
      <c r="D313" s="127" t="s">
        <v>530</v>
      </c>
      <c r="E313" s="128"/>
      <c r="F313" s="128"/>
      <c r="G313" s="128"/>
      <c r="H313" s="128"/>
      <c r="I313" s="128"/>
      <c r="J313" s="129"/>
      <c r="K313" s="129"/>
      <c r="L313" s="129"/>
      <c r="M313" s="129"/>
      <c r="N313" s="129"/>
      <c r="O313" s="129"/>
      <c r="P313" s="129"/>
    </row>
    <row r="314" spans="1:16" ht="15.75" x14ac:dyDescent="0.25">
      <c r="A314" s="1" t="s">
        <v>1385</v>
      </c>
      <c r="B314" s="1" t="s">
        <v>1386</v>
      </c>
      <c r="C314" s="1"/>
      <c r="D314" s="127" t="s">
        <v>531</v>
      </c>
      <c r="E314" s="128"/>
      <c r="F314" s="128"/>
      <c r="G314" s="128"/>
      <c r="H314" s="128"/>
      <c r="I314" s="128"/>
      <c r="J314" s="129"/>
      <c r="K314" s="129"/>
      <c r="L314" s="129"/>
      <c r="M314" s="129"/>
      <c r="N314" s="129"/>
      <c r="O314" s="129"/>
      <c r="P314" s="129"/>
    </row>
    <row r="315" spans="1:16" s="1" customFormat="1" ht="38.25" x14ac:dyDescent="0.2">
      <c r="A315" s="1" t="s">
        <v>1385</v>
      </c>
      <c r="B315" s="1" t="s">
        <v>1386</v>
      </c>
      <c r="C315" s="1" t="s">
        <v>1397</v>
      </c>
      <c r="D315" s="130" t="s">
        <v>532</v>
      </c>
      <c r="E315" s="131" t="s">
        <v>468</v>
      </c>
      <c r="F315" s="131" t="s">
        <v>469</v>
      </c>
      <c r="G315" s="132" t="s">
        <v>21</v>
      </c>
      <c r="H315" s="133">
        <v>1.7712000000000001</v>
      </c>
      <c r="I315" s="133"/>
      <c r="J315" s="129"/>
      <c r="K315" s="129"/>
      <c r="L315" s="129"/>
      <c r="M315" s="129"/>
      <c r="N315" s="129"/>
      <c r="O315" s="129"/>
      <c r="P315" s="129"/>
    </row>
    <row r="316" spans="1:16" s="14" customFormat="1" x14ac:dyDescent="0.2">
      <c r="A316" s="1" t="s">
        <v>1385</v>
      </c>
      <c r="B316" s="1" t="s">
        <v>1386</v>
      </c>
      <c r="C316" s="1" t="s">
        <v>24</v>
      </c>
      <c r="D316" s="134" t="s">
        <v>533</v>
      </c>
      <c r="E316" s="135" t="s">
        <v>18</v>
      </c>
      <c r="F316" s="136" t="s">
        <v>23</v>
      </c>
      <c r="G316" s="135" t="s">
        <v>24</v>
      </c>
      <c r="H316" s="137">
        <v>41.67</v>
      </c>
      <c r="I316" s="137">
        <v>73.805899999999994</v>
      </c>
      <c r="J316" s="129">
        <v>22914.53</v>
      </c>
      <c r="K316" s="129">
        <f t="shared" ref="K316:K322" si="13">+J316*I316</f>
        <v>1691227.5097269998</v>
      </c>
      <c r="L316" s="129">
        <f>+I316*J316</f>
        <v>1691227.5097269998</v>
      </c>
      <c r="M316" s="129"/>
      <c r="N316" s="129"/>
      <c r="O316" s="129"/>
      <c r="P316" s="129"/>
    </row>
    <row r="317" spans="1:16" s="15" customFormat="1" x14ac:dyDescent="0.2">
      <c r="A317" s="1" t="s">
        <v>1385</v>
      </c>
      <c r="B317" s="1" t="s">
        <v>1386</v>
      </c>
      <c r="C317" s="1" t="s">
        <v>28</v>
      </c>
      <c r="D317" s="138" t="s">
        <v>534</v>
      </c>
      <c r="E317" s="139" t="s">
        <v>472</v>
      </c>
      <c r="F317" s="140" t="s">
        <v>473</v>
      </c>
      <c r="G317" s="139" t="s">
        <v>28</v>
      </c>
      <c r="H317" s="141">
        <v>15.16</v>
      </c>
      <c r="I317" s="141">
        <v>26.851400000000002</v>
      </c>
      <c r="J317" s="129">
        <v>235</v>
      </c>
      <c r="K317" s="129">
        <f t="shared" si="13"/>
        <v>6310.0790000000006</v>
      </c>
      <c r="L317" s="129"/>
      <c r="M317" s="129">
        <f>+J317*I317</f>
        <v>6310.0790000000006</v>
      </c>
      <c r="N317" s="129"/>
      <c r="O317" s="129"/>
      <c r="P317" s="129"/>
    </row>
    <row r="318" spans="1:16" s="15" customFormat="1" x14ac:dyDescent="0.2">
      <c r="A318" s="1" t="s">
        <v>1385</v>
      </c>
      <c r="B318" s="1" t="s">
        <v>1386</v>
      </c>
      <c r="C318" s="1" t="s">
        <v>28</v>
      </c>
      <c r="D318" s="138" t="s">
        <v>535</v>
      </c>
      <c r="E318" s="139" t="s">
        <v>475</v>
      </c>
      <c r="F318" s="140" t="s">
        <v>476</v>
      </c>
      <c r="G318" s="139" t="s">
        <v>28</v>
      </c>
      <c r="H318" s="141">
        <v>2.34</v>
      </c>
      <c r="I318" s="141">
        <v>4.1445999999999996</v>
      </c>
      <c r="J318" s="129">
        <v>6311</v>
      </c>
      <c r="K318" s="129">
        <f t="shared" si="13"/>
        <v>26156.570599999999</v>
      </c>
      <c r="L318" s="129"/>
      <c r="M318" s="129">
        <f>+J318*I318</f>
        <v>26156.570599999999</v>
      </c>
      <c r="N318" s="129"/>
      <c r="O318" s="129"/>
      <c r="P318" s="129"/>
    </row>
    <row r="319" spans="1:16" s="15" customFormat="1" x14ac:dyDescent="0.2">
      <c r="A319" s="1" t="s">
        <v>1385</v>
      </c>
      <c r="B319" s="1" t="s">
        <v>1386</v>
      </c>
      <c r="C319" s="1" t="s">
        <v>28</v>
      </c>
      <c r="D319" s="138" t="s">
        <v>536</v>
      </c>
      <c r="E319" s="139" t="s">
        <v>30</v>
      </c>
      <c r="F319" s="140" t="s">
        <v>31</v>
      </c>
      <c r="G319" s="139" t="s">
        <v>28</v>
      </c>
      <c r="H319" s="141">
        <v>0.9</v>
      </c>
      <c r="I319" s="141">
        <v>1.5941000000000001</v>
      </c>
      <c r="J319" s="129">
        <v>106655</v>
      </c>
      <c r="K319" s="129">
        <f t="shared" si="13"/>
        <v>170018.73550000001</v>
      </c>
      <c r="L319" s="129"/>
      <c r="M319" s="129">
        <f>+J319*I319</f>
        <v>170018.73550000001</v>
      </c>
      <c r="N319" s="129"/>
      <c r="O319" s="129"/>
      <c r="P319" s="129"/>
    </row>
    <row r="320" spans="1:16" s="16" customFormat="1" x14ac:dyDescent="0.2">
      <c r="A320" s="1" t="s">
        <v>1385</v>
      </c>
      <c r="B320" s="1" t="s">
        <v>1386</v>
      </c>
      <c r="C320" s="1" t="s">
        <v>1399</v>
      </c>
      <c r="D320" s="142" t="s">
        <v>537</v>
      </c>
      <c r="E320" s="143" t="s">
        <v>479</v>
      </c>
      <c r="F320" s="144" t="s">
        <v>480</v>
      </c>
      <c r="G320" s="143" t="s">
        <v>38</v>
      </c>
      <c r="H320" s="145">
        <v>120</v>
      </c>
      <c r="I320" s="146">
        <v>212.54400000000001</v>
      </c>
      <c r="J320" s="129">
        <v>9000</v>
      </c>
      <c r="K320" s="129">
        <f t="shared" si="13"/>
        <v>1912896</v>
      </c>
      <c r="L320" s="129"/>
      <c r="M320" s="129"/>
      <c r="N320" s="129">
        <f>+I320*J320</f>
        <v>1912896</v>
      </c>
      <c r="O320" s="129"/>
      <c r="P320" s="129"/>
    </row>
    <row r="321" spans="1:16" s="16" customFormat="1" x14ac:dyDescent="0.2">
      <c r="A321" s="1" t="s">
        <v>1385</v>
      </c>
      <c r="B321" s="1" t="s">
        <v>1386</v>
      </c>
      <c r="C321" s="1" t="s">
        <v>1399</v>
      </c>
      <c r="D321" s="142" t="s">
        <v>538</v>
      </c>
      <c r="E321" s="143" t="s">
        <v>482</v>
      </c>
      <c r="F321" s="144" t="s">
        <v>483</v>
      </c>
      <c r="G321" s="143" t="s">
        <v>107</v>
      </c>
      <c r="H321" s="146">
        <v>0.25</v>
      </c>
      <c r="I321" s="146">
        <v>0.44280000000000003</v>
      </c>
      <c r="J321" s="129">
        <v>8929000</v>
      </c>
      <c r="K321" s="129">
        <f t="shared" si="13"/>
        <v>3953761.2</v>
      </c>
      <c r="L321" s="129"/>
      <c r="M321" s="129"/>
      <c r="N321" s="129">
        <f>+I321*J321</f>
        <v>3953761.2</v>
      </c>
      <c r="O321" s="129"/>
      <c r="P321" s="129"/>
    </row>
    <row r="322" spans="1:16" s="16" customFormat="1" x14ac:dyDescent="0.2">
      <c r="A322" s="1" t="s">
        <v>1385</v>
      </c>
      <c r="B322" s="1" t="s">
        <v>1386</v>
      </c>
      <c r="C322" s="1" t="s">
        <v>1399</v>
      </c>
      <c r="D322" s="142" t="s">
        <v>539</v>
      </c>
      <c r="E322" s="143" t="s">
        <v>485</v>
      </c>
      <c r="F322" s="144" t="s">
        <v>486</v>
      </c>
      <c r="G322" s="143" t="s">
        <v>250</v>
      </c>
      <c r="H322" s="145">
        <v>30</v>
      </c>
      <c r="I322" s="146">
        <v>53.136000000000003</v>
      </c>
      <c r="J322" s="129">
        <v>2500</v>
      </c>
      <c r="K322" s="129">
        <f t="shared" si="13"/>
        <v>132840</v>
      </c>
      <c r="L322" s="129"/>
      <c r="M322" s="129"/>
      <c r="N322" s="129">
        <f>+I322*J322</f>
        <v>132840</v>
      </c>
      <c r="O322" s="129"/>
      <c r="P322" s="129"/>
    </row>
    <row r="323" spans="1:16" s="1" customFormat="1" ht="38.25" x14ac:dyDescent="0.2">
      <c r="A323" s="1" t="s">
        <v>1385</v>
      </c>
      <c r="B323" s="1" t="s">
        <v>1386</v>
      </c>
      <c r="C323" s="1" t="s">
        <v>1397</v>
      </c>
      <c r="D323" s="130" t="s">
        <v>540</v>
      </c>
      <c r="E323" s="131" t="s">
        <v>488</v>
      </c>
      <c r="F323" s="131" t="s">
        <v>489</v>
      </c>
      <c r="G323" s="132" t="s">
        <v>21</v>
      </c>
      <c r="H323" s="133">
        <v>1.7712000000000001</v>
      </c>
      <c r="I323" s="133"/>
      <c r="J323" s="129"/>
      <c r="K323" s="129"/>
      <c r="L323" s="129"/>
      <c r="M323" s="129"/>
      <c r="N323" s="129"/>
      <c r="O323" s="129"/>
      <c r="P323" s="129"/>
    </row>
    <row r="324" spans="1:16" s="14" customFormat="1" x14ac:dyDescent="0.2">
      <c r="A324" s="1" t="s">
        <v>1385</v>
      </c>
      <c r="B324" s="1" t="s">
        <v>1386</v>
      </c>
      <c r="C324" s="1" t="s">
        <v>24</v>
      </c>
      <c r="D324" s="134" t="s">
        <v>541</v>
      </c>
      <c r="E324" s="135" t="s">
        <v>18</v>
      </c>
      <c r="F324" s="136" t="s">
        <v>23</v>
      </c>
      <c r="G324" s="135" t="s">
        <v>24</v>
      </c>
      <c r="H324" s="137">
        <v>23.43</v>
      </c>
      <c r="I324" s="137">
        <v>41.499200000000002</v>
      </c>
      <c r="J324" s="129">
        <v>22914.53</v>
      </c>
      <c r="K324" s="129">
        <f t="shared" ref="K324:K329" si="14">+J324*I324</f>
        <v>950934.66337600001</v>
      </c>
      <c r="L324" s="129">
        <f>+I324*J324</f>
        <v>950934.66337600001</v>
      </c>
      <c r="M324" s="129"/>
      <c r="N324" s="129"/>
      <c r="O324" s="129"/>
      <c r="P324" s="129"/>
    </row>
    <row r="325" spans="1:16" s="15" customFormat="1" x14ac:dyDescent="0.2">
      <c r="A325" s="1" t="s">
        <v>1385</v>
      </c>
      <c r="B325" s="1" t="s">
        <v>1386</v>
      </c>
      <c r="C325" s="1" t="s">
        <v>28</v>
      </c>
      <c r="D325" s="138" t="s">
        <v>542</v>
      </c>
      <c r="E325" s="139" t="s">
        <v>472</v>
      </c>
      <c r="F325" s="140" t="s">
        <v>473</v>
      </c>
      <c r="G325" s="139" t="s">
        <v>28</v>
      </c>
      <c r="H325" s="141">
        <v>8.6999999999999993</v>
      </c>
      <c r="I325" s="141">
        <v>15.4094</v>
      </c>
      <c r="J325" s="129">
        <v>235</v>
      </c>
      <c r="K325" s="129">
        <f t="shared" si="14"/>
        <v>3621.2089999999998</v>
      </c>
      <c r="L325" s="129"/>
      <c r="M325" s="129">
        <f>+J325*I325</f>
        <v>3621.2089999999998</v>
      </c>
      <c r="N325" s="129"/>
      <c r="O325" s="129"/>
      <c r="P325" s="129"/>
    </row>
    <row r="326" spans="1:16" s="15" customFormat="1" x14ac:dyDescent="0.2">
      <c r="A326" s="1" t="s">
        <v>1385</v>
      </c>
      <c r="B326" s="1" t="s">
        <v>1386</v>
      </c>
      <c r="C326" s="1" t="s">
        <v>28</v>
      </c>
      <c r="D326" s="138" t="s">
        <v>543</v>
      </c>
      <c r="E326" s="139" t="s">
        <v>30</v>
      </c>
      <c r="F326" s="140" t="s">
        <v>31</v>
      </c>
      <c r="G326" s="139" t="s">
        <v>28</v>
      </c>
      <c r="H326" s="141">
        <v>0.63</v>
      </c>
      <c r="I326" s="141">
        <v>1.1158999999999999</v>
      </c>
      <c r="J326" s="129">
        <v>106655</v>
      </c>
      <c r="K326" s="129">
        <f t="shared" si="14"/>
        <v>119016.31449999999</v>
      </c>
      <c r="L326" s="129"/>
      <c r="M326" s="129">
        <f>+J326*I326</f>
        <v>119016.31449999999</v>
      </c>
      <c r="N326" s="129"/>
      <c r="O326" s="129"/>
      <c r="P326" s="129"/>
    </row>
    <row r="327" spans="1:16" s="16" customFormat="1" x14ac:dyDescent="0.2">
      <c r="A327" s="1" t="s">
        <v>1385</v>
      </c>
      <c r="B327" s="1" t="s">
        <v>1386</v>
      </c>
      <c r="C327" s="1" t="s">
        <v>1399</v>
      </c>
      <c r="D327" s="142" t="s">
        <v>544</v>
      </c>
      <c r="E327" s="143" t="s">
        <v>479</v>
      </c>
      <c r="F327" s="144" t="s">
        <v>480</v>
      </c>
      <c r="G327" s="143" t="s">
        <v>38</v>
      </c>
      <c r="H327" s="145">
        <v>120</v>
      </c>
      <c r="I327" s="146">
        <v>212.54400000000001</v>
      </c>
      <c r="J327" s="129">
        <v>9000</v>
      </c>
      <c r="K327" s="129">
        <f t="shared" si="14"/>
        <v>1912896</v>
      </c>
      <c r="L327" s="129"/>
      <c r="M327" s="129"/>
      <c r="N327" s="129">
        <f>+I327*J327</f>
        <v>1912896</v>
      </c>
      <c r="O327" s="129"/>
      <c r="P327" s="129"/>
    </row>
    <row r="328" spans="1:16" s="16" customFormat="1" x14ac:dyDescent="0.2">
      <c r="A328" s="1" t="s">
        <v>1385</v>
      </c>
      <c r="B328" s="1" t="s">
        <v>1386</v>
      </c>
      <c r="C328" s="1" t="s">
        <v>1399</v>
      </c>
      <c r="D328" s="142" t="s">
        <v>545</v>
      </c>
      <c r="E328" s="143" t="s">
        <v>482</v>
      </c>
      <c r="F328" s="144" t="s">
        <v>483</v>
      </c>
      <c r="G328" s="143" t="s">
        <v>107</v>
      </c>
      <c r="H328" s="146">
        <v>0.25</v>
      </c>
      <c r="I328" s="146">
        <v>0.44280000000000003</v>
      </c>
      <c r="J328" s="129">
        <v>8929000</v>
      </c>
      <c r="K328" s="129">
        <f t="shared" si="14"/>
        <v>3953761.2</v>
      </c>
      <c r="L328" s="129"/>
      <c r="M328" s="129"/>
      <c r="N328" s="129">
        <f>+I328*J328</f>
        <v>3953761.2</v>
      </c>
      <c r="O328" s="129"/>
      <c r="P328" s="129"/>
    </row>
    <row r="329" spans="1:16" s="16" customFormat="1" x14ac:dyDescent="0.2">
      <c r="A329" s="1" t="s">
        <v>1385</v>
      </c>
      <c r="B329" s="1" t="s">
        <v>1386</v>
      </c>
      <c r="C329" s="1" t="s">
        <v>1399</v>
      </c>
      <c r="D329" s="142" t="s">
        <v>546</v>
      </c>
      <c r="E329" s="143" t="s">
        <v>485</v>
      </c>
      <c r="F329" s="144" t="s">
        <v>486</v>
      </c>
      <c r="G329" s="143" t="s">
        <v>250</v>
      </c>
      <c r="H329" s="145">
        <v>30</v>
      </c>
      <c r="I329" s="146">
        <v>53.136000000000003</v>
      </c>
      <c r="J329" s="129">
        <v>2500</v>
      </c>
      <c r="K329" s="129">
        <f t="shared" si="14"/>
        <v>132840</v>
      </c>
      <c r="L329" s="129"/>
      <c r="M329" s="129"/>
      <c r="N329" s="129">
        <f>+I329*J329</f>
        <v>132840</v>
      </c>
      <c r="O329" s="129"/>
      <c r="P329" s="129"/>
    </row>
    <row r="330" spans="1:16" s="1" customFormat="1" ht="51" x14ac:dyDescent="0.2">
      <c r="A330" s="1" t="s">
        <v>1385</v>
      </c>
      <c r="B330" s="1" t="s">
        <v>1386</v>
      </c>
      <c r="C330" s="1" t="s">
        <v>1397</v>
      </c>
      <c r="D330" s="130" t="s">
        <v>547</v>
      </c>
      <c r="E330" s="131" t="s">
        <v>548</v>
      </c>
      <c r="F330" s="131" t="s">
        <v>549</v>
      </c>
      <c r="G330" s="132" t="s">
        <v>21</v>
      </c>
      <c r="H330" s="133">
        <v>1.7712000000000001</v>
      </c>
      <c r="I330" s="133"/>
      <c r="J330" s="129"/>
      <c r="K330" s="129"/>
      <c r="L330" s="129"/>
      <c r="M330" s="129"/>
      <c r="N330" s="129"/>
      <c r="O330" s="129"/>
      <c r="P330" s="129"/>
    </row>
    <row r="331" spans="1:16" s="14" customFormat="1" x14ac:dyDescent="0.2">
      <c r="A331" s="1" t="s">
        <v>1385</v>
      </c>
      <c r="B331" s="1" t="s">
        <v>1386</v>
      </c>
      <c r="C331" s="1" t="s">
        <v>24</v>
      </c>
      <c r="D331" s="134" t="s">
        <v>550</v>
      </c>
      <c r="E331" s="135" t="s">
        <v>18</v>
      </c>
      <c r="F331" s="136" t="s">
        <v>23</v>
      </c>
      <c r="G331" s="135" t="s">
        <v>24</v>
      </c>
      <c r="H331" s="137">
        <v>14.36</v>
      </c>
      <c r="I331" s="137">
        <v>25.4344</v>
      </c>
      <c r="J331" s="129">
        <v>22914.53</v>
      </c>
      <c r="K331" s="129">
        <f>+J331*I331</f>
        <v>582817.32183199993</v>
      </c>
      <c r="L331" s="129">
        <f>+I331*J331</f>
        <v>582817.32183199993</v>
      </c>
      <c r="M331" s="129"/>
      <c r="N331" s="129"/>
      <c r="O331" s="129"/>
      <c r="P331" s="129"/>
    </row>
    <row r="332" spans="1:16" s="15" customFormat="1" x14ac:dyDescent="0.2">
      <c r="A332" s="1" t="s">
        <v>1385</v>
      </c>
      <c r="B332" s="1" t="s">
        <v>1386</v>
      </c>
      <c r="C332" s="1" t="s">
        <v>28</v>
      </c>
      <c r="D332" s="138" t="s">
        <v>551</v>
      </c>
      <c r="E332" s="139" t="s">
        <v>30</v>
      </c>
      <c r="F332" s="140" t="s">
        <v>31</v>
      </c>
      <c r="G332" s="139" t="s">
        <v>28</v>
      </c>
      <c r="H332" s="141">
        <v>0.25</v>
      </c>
      <c r="I332" s="141">
        <v>0.44280000000000003</v>
      </c>
      <c r="J332" s="129">
        <v>106655</v>
      </c>
      <c r="K332" s="129">
        <f>+J332*I332</f>
        <v>47226.834000000003</v>
      </c>
      <c r="L332" s="129"/>
      <c r="M332" s="129">
        <f>+J332*I332</f>
        <v>47226.834000000003</v>
      </c>
      <c r="N332" s="129"/>
      <c r="O332" s="129"/>
      <c r="P332" s="129"/>
    </row>
    <row r="333" spans="1:16" s="16" customFormat="1" ht="24" x14ac:dyDescent="0.2">
      <c r="A333" s="1" t="s">
        <v>1385</v>
      </c>
      <c r="B333" s="1" t="s">
        <v>1386</v>
      </c>
      <c r="C333" s="1" t="s">
        <v>1399</v>
      </c>
      <c r="D333" s="142" t="s">
        <v>552</v>
      </c>
      <c r="E333" s="143" t="s">
        <v>553</v>
      </c>
      <c r="F333" s="144" t="s">
        <v>554</v>
      </c>
      <c r="G333" s="143" t="s">
        <v>38</v>
      </c>
      <c r="H333" s="145">
        <v>103</v>
      </c>
      <c r="I333" s="146">
        <v>182.43360000000001</v>
      </c>
      <c r="J333" s="129">
        <v>30357</v>
      </c>
      <c r="K333" s="129">
        <f>+J333*I333</f>
        <v>5538136.7952000005</v>
      </c>
      <c r="L333" s="129"/>
      <c r="M333" s="129"/>
      <c r="N333" s="129">
        <f>+I333*J333</f>
        <v>5538136.7952000005</v>
      </c>
      <c r="O333" s="129"/>
      <c r="P333" s="129"/>
    </row>
    <row r="334" spans="1:16" s="1" customFormat="1" ht="38.25" x14ac:dyDescent="0.2">
      <c r="A334" s="1" t="s">
        <v>1385</v>
      </c>
      <c r="B334" s="1" t="s">
        <v>1386</v>
      </c>
      <c r="C334" s="1" t="s">
        <v>1397</v>
      </c>
      <c r="D334" s="130" t="s">
        <v>555</v>
      </c>
      <c r="E334" s="131" t="s">
        <v>444</v>
      </c>
      <c r="F334" s="131" t="s">
        <v>445</v>
      </c>
      <c r="G334" s="132" t="s">
        <v>21</v>
      </c>
      <c r="H334" s="133">
        <v>1.7712000000000001</v>
      </c>
      <c r="I334" s="133"/>
      <c r="J334" s="129"/>
      <c r="K334" s="129"/>
      <c r="L334" s="129"/>
      <c r="M334" s="129"/>
      <c r="N334" s="129"/>
      <c r="O334" s="129"/>
      <c r="P334" s="129"/>
    </row>
    <row r="335" spans="1:16" s="14" customFormat="1" x14ac:dyDescent="0.2">
      <c r="A335" s="1" t="s">
        <v>1385</v>
      </c>
      <c r="B335" s="1" t="s">
        <v>1386</v>
      </c>
      <c r="C335" s="1" t="s">
        <v>24</v>
      </c>
      <c r="D335" s="134" t="s">
        <v>556</v>
      </c>
      <c r="E335" s="135" t="s">
        <v>18</v>
      </c>
      <c r="F335" s="136" t="s">
        <v>23</v>
      </c>
      <c r="G335" s="135" t="s">
        <v>24</v>
      </c>
      <c r="H335" s="137">
        <v>39.51</v>
      </c>
      <c r="I335" s="137">
        <v>69.980099999999993</v>
      </c>
      <c r="J335" s="129">
        <v>22914.53</v>
      </c>
      <c r="K335" s="129">
        <f>+J335*I335</f>
        <v>1603561.1008529998</v>
      </c>
      <c r="L335" s="129">
        <f>+I335*J335</f>
        <v>1603561.1008529998</v>
      </c>
      <c r="M335" s="129"/>
      <c r="N335" s="129"/>
      <c r="O335" s="129"/>
      <c r="P335" s="129"/>
    </row>
    <row r="336" spans="1:16" s="16" customFormat="1" x14ac:dyDescent="0.2">
      <c r="A336" s="1" t="s">
        <v>1385</v>
      </c>
      <c r="B336" s="1" t="s">
        <v>1386</v>
      </c>
      <c r="C336" s="1" t="s">
        <v>1399</v>
      </c>
      <c r="D336" s="142" t="s">
        <v>557</v>
      </c>
      <c r="E336" s="143" t="s">
        <v>448</v>
      </c>
      <c r="F336" s="144" t="s">
        <v>449</v>
      </c>
      <c r="G336" s="143" t="s">
        <v>420</v>
      </c>
      <c r="H336" s="146">
        <v>2.04</v>
      </c>
      <c r="I336" s="146">
        <v>3.6132</v>
      </c>
      <c r="J336" s="129">
        <v>484821</v>
      </c>
      <c r="K336" s="129">
        <f>+J336*I336</f>
        <v>1751755.2372000001</v>
      </c>
      <c r="L336" s="129"/>
      <c r="M336" s="129"/>
      <c r="N336" s="129">
        <f>+I336*J336</f>
        <v>1751755.2372000001</v>
      </c>
      <c r="O336" s="129"/>
      <c r="P336" s="129"/>
    </row>
    <row r="337" spans="1:16" s="1" customFormat="1" ht="38.25" x14ac:dyDescent="0.2">
      <c r="A337" s="1" t="s">
        <v>1385</v>
      </c>
      <c r="B337" s="1" t="s">
        <v>1386</v>
      </c>
      <c r="C337" s="1" t="s">
        <v>1397</v>
      </c>
      <c r="D337" s="130" t="s">
        <v>558</v>
      </c>
      <c r="E337" s="131" t="s">
        <v>510</v>
      </c>
      <c r="F337" s="131" t="s">
        <v>452</v>
      </c>
      <c r="G337" s="132" t="s">
        <v>21</v>
      </c>
      <c r="H337" s="133">
        <v>1.7712000000000001</v>
      </c>
      <c r="I337" s="133"/>
      <c r="J337" s="129"/>
      <c r="K337" s="129"/>
      <c r="L337" s="129"/>
      <c r="M337" s="129"/>
      <c r="N337" s="129"/>
      <c r="O337" s="129"/>
      <c r="P337" s="129"/>
    </row>
    <row r="338" spans="1:16" s="14" customFormat="1" x14ac:dyDescent="0.2">
      <c r="A338" s="1" t="s">
        <v>1385</v>
      </c>
      <c r="B338" s="1" t="s">
        <v>1386</v>
      </c>
      <c r="C338" s="1" t="s">
        <v>24</v>
      </c>
      <c r="D338" s="134" t="s">
        <v>559</v>
      </c>
      <c r="E338" s="135" t="s">
        <v>18</v>
      </c>
      <c r="F338" s="136" t="s">
        <v>23</v>
      </c>
      <c r="G338" s="135" t="s">
        <v>24</v>
      </c>
      <c r="H338" s="147">
        <v>3</v>
      </c>
      <c r="I338" s="137">
        <v>5.3136000000000001</v>
      </c>
      <c r="J338" s="129">
        <v>22914.53</v>
      </c>
      <c r="K338" s="129">
        <f>+J338*I338</f>
        <v>121758.646608</v>
      </c>
      <c r="L338" s="129">
        <f>+I338*J338</f>
        <v>121758.646608</v>
      </c>
      <c r="M338" s="129"/>
      <c r="N338" s="129"/>
      <c r="O338" s="129"/>
      <c r="P338" s="129"/>
    </row>
    <row r="339" spans="1:16" s="16" customFormat="1" x14ac:dyDescent="0.2">
      <c r="A339" s="1" t="s">
        <v>1385</v>
      </c>
      <c r="B339" s="1" t="s">
        <v>1386</v>
      </c>
      <c r="C339" s="1" t="s">
        <v>1399</v>
      </c>
      <c r="D339" s="142" t="s">
        <v>560</v>
      </c>
      <c r="E339" s="143" t="s">
        <v>448</v>
      </c>
      <c r="F339" s="144" t="s">
        <v>449</v>
      </c>
      <c r="G339" s="143" t="s">
        <v>420</v>
      </c>
      <c r="H339" s="146">
        <v>3.06</v>
      </c>
      <c r="I339" s="146">
        <v>5.4199000000000002</v>
      </c>
      <c r="J339" s="129">
        <v>484821</v>
      </c>
      <c r="K339" s="129">
        <f>+J339*I339</f>
        <v>2627681.3379000002</v>
      </c>
      <c r="L339" s="129"/>
      <c r="M339" s="129"/>
      <c r="N339" s="129">
        <f>+I339*J339</f>
        <v>2627681.3379000002</v>
      </c>
      <c r="O339" s="129"/>
      <c r="P339" s="129"/>
    </row>
    <row r="340" spans="1:16" s="1" customFormat="1" ht="51" x14ac:dyDescent="0.2">
      <c r="A340" s="1" t="s">
        <v>1385</v>
      </c>
      <c r="B340" s="1" t="s">
        <v>1386</v>
      </c>
      <c r="C340" s="1" t="s">
        <v>1397</v>
      </c>
      <c r="D340" s="130" t="s">
        <v>561</v>
      </c>
      <c r="E340" s="131" t="s">
        <v>514</v>
      </c>
      <c r="F340" s="131" t="s">
        <v>515</v>
      </c>
      <c r="G340" s="132" t="s">
        <v>21</v>
      </c>
      <c r="H340" s="133">
        <v>1.7712000000000001</v>
      </c>
      <c r="I340" s="133"/>
      <c r="J340" s="129"/>
      <c r="K340" s="129"/>
      <c r="L340" s="129"/>
      <c r="M340" s="129"/>
      <c r="N340" s="129"/>
      <c r="O340" s="129"/>
      <c r="P340" s="129"/>
    </row>
    <row r="341" spans="1:16" s="14" customFormat="1" x14ac:dyDescent="0.2">
      <c r="A341" s="1" t="s">
        <v>1385</v>
      </c>
      <c r="B341" s="1" t="s">
        <v>1386</v>
      </c>
      <c r="C341" s="1" t="s">
        <v>24</v>
      </c>
      <c r="D341" s="134" t="s">
        <v>562</v>
      </c>
      <c r="E341" s="135" t="s">
        <v>18</v>
      </c>
      <c r="F341" s="136" t="s">
        <v>23</v>
      </c>
      <c r="G341" s="135" t="s">
        <v>24</v>
      </c>
      <c r="H341" s="137">
        <v>119.78</v>
      </c>
      <c r="I341" s="137">
        <v>212.15430000000001</v>
      </c>
      <c r="J341" s="129">
        <v>22914.53</v>
      </c>
      <c r="K341" s="129">
        <f t="shared" ref="K341:K346" si="15">+J341*I341</f>
        <v>4861416.0719790002</v>
      </c>
      <c r="L341" s="129">
        <f>+I341*J341</f>
        <v>4861416.0719790002</v>
      </c>
      <c r="M341" s="129"/>
      <c r="N341" s="129"/>
      <c r="O341" s="129"/>
      <c r="P341" s="129"/>
    </row>
    <row r="342" spans="1:16" s="15" customFormat="1" x14ac:dyDescent="0.2">
      <c r="A342" s="1" t="s">
        <v>1385</v>
      </c>
      <c r="B342" s="1" t="s">
        <v>1386</v>
      </c>
      <c r="C342" s="1" t="s">
        <v>28</v>
      </c>
      <c r="D342" s="138" t="s">
        <v>563</v>
      </c>
      <c r="E342" s="139" t="s">
        <v>30</v>
      </c>
      <c r="F342" s="140" t="s">
        <v>31</v>
      </c>
      <c r="G342" s="139" t="s">
        <v>28</v>
      </c>
      <c r="H342" s="141">
        <v>0.28000000000000003</v>
      </c>
      <c r="I342" s="141">
        <v>0.49593599999999999</v>
      </c>
      <c r="J342" s="129">
        <v>106655</v>
      </c>
      <c r="K342" s="129">
        <f t="shared" si="15"/>
        <v>52894.054080000002</v>
      </c>
      <c r="L342" s="129"/>
      <c r="M342" s="129">
        <f>+J342*I342</f>
        <v>52894.054080000002</v>
      </c>
      <c r="N342" s="129"/>
      <c r="O342" s="129"/>
      <c r="P342" s="129"/>
    </row>
    <row r="343" spans="1:16" s="15" customFormat="1" x14ac:dyDescent="0.2">
      <c r="A343" s="1" t="s">
        <v>1385</v>
      </c>
      <c r="B343" s="1" t="s">
        <v>1386</v>
      </c>
      <c r="C343" s="1" t="s">
        <v>28</v>
      </c>
      <c r="D343" s="138" t="s">
        <v>564</v>
      </c>
      <c r="E343" s="139" t="s">
        <v>519</v>
      </c>
      <c r="F343" s="140" t="s">
        <v>520</v>
      </c>
      <c r="G343" s="139" t="s">
        <v>28</v>
      </c>
      <c r="H343" s="141">
        <v>1.56</v>
      </c>
      <c r="I343" s="141">
        <v>2.7631000000000001</v>
      </c>
      <c r="J343" s="129">
        <v>21745</v>
      </c>
      <c r="K343" s="129">
        <f t="shared" si="15"/>
        <v>60083.609500000006</v>
      </c>
      <c r="L343" s="129"/>
      <c r="M343" s="129">
        <f>+J343*I343</f>
        <v>60083.609500000006</v>
      </c>
      <c r="N343" s="129"/>
      <c r="O343" s="129"/>
      <c r="P343" s="129"/>
    </row>
    <row r="344" spans="1:16" s="16" customFormat="1" ht="24" x14ac:dyDescent="0.2">
      <c r="A344" s="1" t="s">
        <v>1385</v>
      </c>
      <c r="B344" s="1" t="s">
        <v>1386</v>
      </c>
      <c r="C344" s="1" t="s">
        <v>1399</v>
      </c>
      <c r="D344" s="142" t="s">
        <v>565</v>
      </c>
      <c r="E344" s="143" t="s">
        <v>522</v>
      </c>
      <c r="F344" s="144" t="s">
        <v>523</v>
      </c>
      <c r="G344" s="143" t="s">
        <v>38</v>
      </c>
      <c r="H344" s="145">
        <v>102</v>
      </c>
      <c r="I344" s="146">
        <v>180.66239999999999</v>
      </c>
      <c r="J344" s="129">
        <v>48000</v>
      </c>
      <c r="K344" s="129">
        <f t="shared" si="15"/>
        <v>8671795.1999999993</v>
      </c>
      <c r="L344" s="129"/>
      <c r="M344" s="129"/>
      <c r="N344" s="129">
        <f>+I344*J344</f>
        <v>8671795.1999999993</v>
      </c>
      <c r="O344" s="129"/>
      <c r="P344" s="129"/>
    </row>
    <row r="345" spans="1:16" s="16" customFormat="1" x14ac:dyDescent="0.2">
      <c r="A345" s="1" t="s">
        <v>1385</v>
      </c>
      <c r="B345" s="1" t="s">
        <v>1386</v>
      </c>
      <c r="C345" s="1" t="s">
        <v>1399</v>
      </c>
      <c r="D345" s="142" t="s">
        <v>566</v>
      </c>
      <c r="E345" s="143" t="s">
        <v>525</v>
      </c>
      <c r="F345" s="144" t="s">
        <v>526</v>
      </c>
      <c r="G345" s="143" t="s">
        <v>250</v>
      </c>
      <c r="H345" s="145">
        <v>450</v>
      </c>
      <c r="I345" s="146">
        <v>797.04</v>
      </c>
      <c r="J345" s="129">
        <v>1150</v>
      </c>
      <c r="K345" s="129">
        <f t="shared" si="15"/>
        <v>916596</v>
      </c>
      <c r="L345" s="129"/>
      <c r="M345" s="129"/>
      <c r="N345" s="129">
        <f>+I345*J345</f>
        <v>916596</v>
      </c>
      <c r="O345" s="129"/>
      <c r="P345" s="129"/>
    </row>
    <row r="346" spans="1:16" s="16" customFormat="1" x14ac:dyDescent="0.2">
      <c r="A346" s="1" t="s">
        <v>1385</v>
      </c>
      <c r="B346" s="1" t="s">
        <v>1386</v>
      </c>
      <c r="C346" s="1" t="s">
        <v>1399</v>
      </c>
      <c r="D346" s="142" t="s">
        <v>567</v>
      </c>
      <c r="E346" s="143" t="s">
        <v>528</v>
      </c>
      <c r="F346" s="144" t="s">
        <v>529</v>
      </c>
      <c r="G346" s="143" t="s">
        <v>107</v>
      </c>
      <c r="H346" s="146">
        <v>0.05</v>
      </c>
      <c r="I346" s="146">
        <v>8.856E-2</v>
      </c>
      <c r="J346" s="129">
        <v>1150000</v>
      </c>
      <c r="K346" s="129">
        <f t="shared" si="15"/>
        <v>101844</v>
      </c>
      <c r="L346" s="129"/>
      <c r="M346" s="129"/>
      <c r="N346" s="129">
        <f>+I346*J346</f>
        <v>101844</v>
      </c>
      <c r="O346" s="129"/>
      <c r="P346" s="129"/>
    </row>
    <row r="347" spans="1:16" ht="15.75" x14ac:dyDescent="0.25">
      <c r="A347" s="1" t="s">
        <v>1385</v>
      </c>
      <c r="B347" s="1" t="s">
        <v>1386</v>
      </c>
      <c r="C347" s="1"/>
      <c r="D347" s="127" t="s">
        <v>568</v>
      </c>
      <c r="E347" s="128"/>
      <c r="F347" s="128"/>
      <c r="G347" s="128"/>
      <c r="H347" s="128"/>
      <c r="I347" s="128"/>
      <c r="J347" s="129"/>
      <c r="K347" s="129"/>
      <c r="L347" s="129"/>
      <c r="M347" s="129"/>
      <c r="N347" s="129"/>
      <c r="O347" s="129"/>
      <c r="P347" s="129"/>
    </row>
    <row r="348" spans="1:16" s="1" customFormat="1" ht="38.25" x14ac:dyDescent="0.2">
      <c r="A348" s="1" t="s">
        <v>1385</v>
      </c>
      <c r="B348" s="1" t="s">
        <v>1386</v>
      </c>
      <c r="C348" s="1" t="s">
        <v>1397</v>
      </c>
      <c r="D348" s="130" t="s">
        <v>569</v>
      </c>
      <c r="E348" s="131" t="s">
        <v>468</v>
      </c>
      <c r="F348" s="131" t="s">
        <v>469</v>
      </c>
      <c r="G348" s="132" t="s">
        <v>21</v>
      </c>
      <c r="H348" s="133">
        <v>0.90880000000000005</v>
      </c>
      <c r="I348" s="133"/>
      <c r="J348" s="129"/>
      <c r="K348" s="129"/>
      <c r="L348" s="129"/>
      <c r="M348" s="129"/>
      <c r="N348" s="129"/>
      <c r="O348" s="129"/>
      <c r="P348" s="129"/>
    </row>
    <row r="349" spans="1:16" s="14" customFormat="1" x14ac:dyDescent="0.2">
      <c r="A349" s="1" t="s">
        <v>1385</v>
      </c>
      <c r="B349" s="1" t="s">
        <v>1386</v>
      </c>
      <c r="C349" s="1" t="s">
        <v>24</v>
      </c>
      <c r="D349" s="134" t="s">
        <v>570</v>
      </c>
      <c r="E349" s="135" t="s">
        <v>18</v>
      </c>
      <c r="F349" s="136" t="s">
        <v>23</v>
      </c>
      <c r="G349" s="135" t="s">
        <v>24</v>
      </c>
      <c r="H349" s="137">
        <v>41.67</v>
      </c>
      <c r="I349" s="137">
        <v>37.869700000000002</v>
      </c>
      <c r="J349" s="129">
        <v>22914.53</v>
      </c>
      <c r="K349" s="129">
        <f t="shared" ref="K349:K355" si="16">+J349*I349</f>
        <v>867766.37674099999</v>
      </c>
      <c r="L349" s="129">
        <f>+I349*J349</f>
        <v>867766.37674099999</v>
      </c>
      <c r="M349" s="129"/>
      <c r="N349" s="129"/>
      <c r="O349" s="129"/>
      <c r="P349" s="129"/>
    </row>
    <row r="350" spans="1:16" s="15" customFormat="1" x14ac:dyDescent="0.2">
      <c r="A350" s="1" t="s">
        <v>1385</v>
      </c>
      <c r="B350" s="1" t="s">
        <v>1386</v>
      </c>
      <c r="C350" s="1" t="s">
        <v>28</v>
      </c>
      <c r="D350" s="138" t="s">
        <v>571</v>
      </c>
      <c r="E350" s="139" t="s">
        <v>472</v>
      </c>
      <c r="F350" s="140" t="s">
        <v>473</v>
      </c>
      <c r="G350" s="139" t="s">
        <v>28</v>
      </c>
      <c r="H350" s="141">
        <v>15.16</v>
      </c>
      <c r="I350" s="141">
        <v>13.7774</v>
      </c>
      <c r="J350" s="129">
        <v>235</v>
      </c>
      <c r="K350" s="129">
        <f t="shared" si="16"/>
        <v>3237.6889999999999</v>
      </c>
      <c r="L350" s="129"/>
      <c r="M350" s="129">
        <f>+J350*I350</f>
        <v>3237.6889999999999</v>
      </c>
      <c r="N350" s="129"/>
      <c r="O350" s="129"/>
      <c r="P350" s="129"/>
    </row>
    <row r="351" spans="1:16" s="15" customFormat="1" x14ac:dyDescent="0.2">
      <c r="A351" s="1" t="s">
        <v>1385</v>
      </c>
      <c r="B351" s="1" t="s">
        <v>1386</v>
      </c>
      <c r="C351" s="1" t="s">
        <v>28</v>
      </c>
      <c r="D351" s="138" t="s">
        <v>572</v>
      </c>
      <c r="E351" s="139" t="s">
        <v>475</v>
      </c>
      <c r="F351" s="140" t="s">
        <v>476</v>
      </c>
      <c r="G351" s="139" t="s">
        <v>28</v>
      </c>
      <c r="H351" s="141">
        <v>2.34</v>
      </c>
      <c r="I351" s="141">
        <v>2.1265999999999998</v>
      </c>
      <c r="J351" s="129">
        <v>6311</v>
      </c>
      <c r="K351" s="129">
        <f t="shared" si="16"/>
        <v>13420.972599999999</v>
      </c>
      <c r="L351" s="129"/>
      <c r="M351" s="129">
        <f>+J351*I351</f>
        <v>13420.972599999999</v>
      </c>
      <c r="N351" s="129"/>
      <c r="O351" s="129"/>
      <c r="P351" s="129"/>
    </row>
    <row r="352" spans="1:16" s="15" customFormat="1" x14ac:dyDescent="0.2">
      <c r="A352" s="1" t="s">
        <v>1385</v>
      </c>
      <c r="B352" s="1" t="s">
        <v>1386</v>
      </c>
      <c r="C352" s="1" t="s">
        <v>28</v>
      </c>
      <c r="D352" s="138" t="s">
        <v>573</v>
      </c>
      <c r="E352" s="139" t="s">
        <v>30</v>
      </c>
      <c r="F352" s="140" t="s">
        <v>31</v>
      </c>
      <c r="G352" s="139" t="s">
        <v>28</v>
      </c>
      <c r="H352" s="141">
        <v>0.9</v>
      </c>
      <c r="I352" s="141">
        <v>0.81791999999999998</v>
      </c>
      <c r="J352" s="129">
        <v>106655</v>
      </c>
      <c r="K352" s="129">
        <f t="shared" si="16"/>
        <v>87235.257599999997</v>
      </c>
      <c r="L352" s="129"/>
      <c r="M352" s="129">
        <f>+J352*I352</f>
        <v>87235.257599999997</v>
      </c>
      <c r="N352" s="129"/>
      <c r="O352" s="129"/>
      <c r="P352" s="129"/>
    </row>
    <row r="353" spans="1:16" s="16" customFormat="1" x14ac:dyDescent="0.2">
      <c r="A353" s="1" t="s">
        <v>1385</v>
      </c>
      <c r="B353" s="1" t="s">
        <v>1386</v>
      </c>
      <c r="C353" s="1" t="s">
        <v>1399</v>
      </c>
      <c r="D353" s="142" t="s">
        <v>574</v>
      </c>
      <c r="E353" s="143" t="s">
        <v>479</v>
      </c>
      <c r="F353" s="144" t="s">
        <v>480</v>
      </c>
      <c r="G353" s="143" t="s">
        <v>38</v>
      </c>
      <c r="H353" s="145">
        <v>120</v>
      </c>
      <c r="I353" s="146">
        <v>109.056</v>
      </c>
      <c r="J353" s="129">
        <v>9000</v>
      </c>
      <c r="K353" s="129">
        <f t="shared" si="16"/>
        <v>981504</v>
      </c>
      <c r="L353" s="129"/>
      <c r="M353" s="129"/>
      <c r="N353" s="129">
        <f>+I353*J353</f>
        <v>981504</v>
      </c>
      <c r="O353" s="129"/>
      <c r="P353" s="129"/>
    </row>
    <row r="354" spans="1:16" s="16" customFormat="1" x14ac:dyDescent="0.2">
      <c r="A354" s="1" t="s">
        <v>1385</v>
      </c>
      <c r="B354" s="1" t="s">
        <v>1386</v>
      </c>
      <c r="C354" s="1" t="s">
        <v>1399</v>
      </c>
      <c r="D354" s="142" t="s">
        <v>575</v>
      </c>
      <c r="E354" s="143" t="s">
        <v>482</v>
      </c>
      <c r="F354" s="144" t="s">
        <v>483</v>
      </c>
      <c r="G354" s="143" t="s">
        <v>107</v>
      </c>
      <c r="H354" s="146">
        <v>0.25</v>
      </c>
      <c r="I354" s="146">
        <v>0.22720000000000001</v>
      </c>
      <c r="J354" s="129">
        <v>8929000</v>
      </c>
      <c r="K354" s="129">
        <f t="shared" si="16"/>
        <v>2028668.8</v>
      </c>
      <c r="L354" s="129"/>
      <c r="M354" s="129"/>
      <c r="N354" s="129">
        <f>+I354*J354</f>
        <v>2028668.8</v>
      </c>
      <c r="O354" s="129"/>
      <c r="P354" s="129"/>
    </row>
    <row r="355" spans="1:16" s="16" customFormat="1" x14ac:dyDescent="0.2">
      <c r="A355" s="1" t="s">
        <v>1385</v>
      </c>
      <c r="B355" s="1" t="s">
        <v>1386</v>
      </c>
      <c r="C355" s="1" t="s">
        <v>1399</v>
      </c>
      <c r="D355" s="142" t="s">
        <v>576</v>
      </c>
      <c r="E355" s="143" t="s">
        <v>485</v>
      </c>
      <c r="F355" s="144" t="s">
        <v>486</v>
      </c>
      <c r="G355" s="143" t="s">
        <v>250</v>
      </c>
      <c r="H355" s="145">
        <v>30</v>
      </c>
      <c r="I355" s="146">
        <v>27.263999999999999</v>
      </c>
      <c r="J355" s="129">
        <v>2500</v>
      </c>
      <c r="K355" s="129">
        <f t="shared" si="16"/>
        <v>68160</v>
      </c>
      <c r="L355" s="129"/>
      <c r="M355" s="129"/>
      <c r="N355" s="129">
        <f>+I355*J355</f>
        <v>68160</v>
      </c>
      <c r="O355" s="129"/>
      <c r="P355" s="129"/>
    </row>
    <row r="356" spans="1:16" s="1" customFormat="1" ht="38.25" x14ac:dyDescent="0.2">
      <c r="A356" s="1" t="s">
        <v>1385</v>
      </c>
      <c r="B356" s="1" t="s">
        <v>1386</v>
      </c>
      <c r="C356" s="1" t="s">
        <v>1397</v>
      </c>
      <c r="D356" s="130" t="s">
        <v>577</v>
      </c>
      <c r="E356" s="131" t="s">
        <v>488</v>
      </c>
      <c r="F356" s="131" t="s">
        <v>489</v>
      </c>
      <c r="G356" s="132" t="s">
        <v>21</v>
      </c>
      <c r="H356" s="133">
        <v>0.90880000000000005</v>
      </c>
      <c r="I356" s="133"/>
      <c r="J356" s="129"/>
      <c r="K356" s="129"/>
      <c r="L356" s="129"/>
      <c r="M356" s="129"/>
      <c r="N356" s="129"/>
      <c r="O356" s="129"/>
      <c r="P356" s="129"/>
    </row>
    <row r="357" spans="1:16" s="14" customFormat="1" x14ac:dyDescent="0.2">
      <c r="A357" s="1" t="s">
        <v>1385</v>
      </c>
      <c r="B357" s="1" t="s">
        <v>1386</v>
      </c>
      <c r="C357" s="1" t="s">
        <v>24</v>
      </c>
      <c r="D357" s="134" t="s">
        <v>578</v>
      </c>
      <c r="E357" s="135" t="s">
        <v>18</v>
      </c>
      <c r="F357" s="136" t="s">
        <v>23</v>
      </c>
      <c r="G357" s="135" t="s">
        <v>24</v>
      </c>
      <c r="H357" s="137">
        <v>23.43</v>
      </c>
      <c r="I357" s="137">
        <v>21.293199999999999</v>
      </c>
      <c r="J357" s="129">
        <v>22914.53</v>
      </c>
      <c r="K357" s="129">
        <f t="shared" ref="K357:K362" si="17">+J357*I357</f>
        <v>487923.67019599996</v>
      </c>
      <c r="L357" s="129">
        <f>+I357*J357</f>
        <v>487923.67019599996</v>
      </c>
      <c r="M357" s="129"/>
      <c r="N357" s="129"/>
      <c r="O357" s="129"/>
      <c r="P357" s="129"/>
    </row>
    <row r="358" spans="1:16" s="15" customFormat="1" x14ac:dyDescent="0.2">
      <c r="A358" s="1" t="s">
        <v>1385</v>
      </c>
      <c r="B358" s="1" t="s">
        <v>1386</v>
      </c>
      <c r="C358" s="1" t="s">
        <v>28</v>
      </c>
      <c r="D358" s="138" t="s">
        <v>579</v>
      </c>
      <c r="E358" s="139" t="s">
        <v>472</v>
      </c>
      <c r="F358" s="140" t="s">
        <v>473</v>
      </c>
      <c r="G358" s="139" t="s">
        <v>28</v>
      </c>
      <c r="H358" s="141">
        <v>8.6999999999999993</v>
      </c>
      <c r="I358" s="141">
        <v>7.9066000000000001</v>
      </c>
      <c r="J358" s="129">
        <v>235</v>
      </c>
      <c r="K358" s="129">
        <f t="shared" si="17"/>
        <v>1858.0509999999999</v>
      </c>
      <c r="L358" s="129"/>
      <c r="M358" s="129">
        <f>+J358*I358</f>
        <v>1858.0509999999999</v>
      </c>
      <c r="N358" s="129"/>
      <c r="O358" s="129"/>
      <c r="P358" s="129"/>
    </row>
    <row r="359" spans="1:16" s="15" customFormat="1" x14ac:dyDescent="0.2">
      <c r="A359" s="1" t="s">
        <v>1385</v>
      </c>
      <c r="B359" s="1" t="s">
        <v>1386</v>
      </c>
      <c r="C359" s="1" t="s">
        <v>28</v>
      </c>
      <c r="D359" s="138" t="s">
        <v>580</v>
      </c>
      <c r="E359" s="139" t="s">
        <v>30</v>
      </c>
      <c r="F359" s="140" t="s">
        <v>31</v>
      </c>
      <c r="G359" s="139" t="s">
        <v>28</v>
      </c>
      <c r="H359" s="141">
        <v>0.63</v>
      </c>
      <c r="I359" s="141">
        <v>0.57254400000000005</v>
      </c>
      <c r="J359" s="129">
        <v>106655</v>
      </c>
      <c r="K359" s="129">
        <f t="shared" si="17"/>
        <v>61064.680320000007</v>
      </c>
      <c r="L359" s="129"/>
      <c r="M359" s="129">
        <f>+J359*I359</f>
        <v>61064.680320000007</v>
      </c>
      <c r="N359" s="129"/>
      <c r="O359" s="129"/>
      <c r="P359" s="129"/>
    </row>
    <row r="360" spans="1:16" s="16" customFormat="1" x14ac:dyDescent="0.2">
      <c r="A360" s="1" t="s">
        <v>1385</v>
      </c>
      <c r="B360" s="1" t="s">
        <v>1386</v>
      </c>
      <c r="C360" s="1" t="s">
        <v>1399</v>
      </c>
      <c r="D360" s="142" t="s">
        <v>581</v>
      </c>
      <c r="E360" s="143" t="s">
        <v>479</v>
      </c>
      <c r="F360" s="144" t="s">
        <v>480</v>
      </c>
      <c r="G360" s="143" t="s">
        <v>38</v>
      </c>
      <c r="H360" s="145">
        <v>120</v>
      </c>
      <c r="I360" s="146">
        <v>109.056</v>
      </c>
      <c r="J360" s="129">
        <v>9000</v>
      </c>
      <c r="K360" s="129">
        <f t="shared" si="17"/>
        <v>981504</v>
      </c>
      <c r="L360" s="129"/>
      <c r="M360" s="129"/>
      <c r="N360" s="129">
        <f>+I360*J360</f>
        <v>981504</v>
      </c>
      <c r="O360" s="129"/>
      <c r="P360" s="129"/>
    </row>
    <row r="361" spans="1:16" s="16" customFormat="1" x14ac:dyDescent="0.2">
      <c r="A361" s="1" t="s">
        <v>1385</v>
      </c>
      <c r="B361" s="1" t="s">
        <v>1386</v>
      </c>
      <c r="C361" s="1" t="s">
        <v>1399</v>
      </c>
      <c r="D361" s="142" t="s">
        <v>582</v>
      </c>
      <c r="E361" s="143" t="s">
        <v>482</v>
      </c>
      <c r="F361" s="144" t="s">
        <v>483</v>
      </c>
      <c r="G361" s="143" t="s">
        <v>107</v>
      </c>
      <c r="H361" s="146">
        <v>0.25</v>
      </c>
      <c r="I361" s="146">
        <v>0.22720000000000001</v>
      </c>
      <c r="J361" s="129">
        <v>8929000</v>
      </c>
      <c r="K361" s="129">
        <f t="shared" si="17"/>
        <v>2028668.8</v>
      </c>
      <c r="L361" s="129"/>
      <c r="M361" s="129"/>
      <c r="N361" s="129">
        <f>+I361*J361</f>
        <v>2028668.8</v>
      </c>
      <c r="O361" s="129"/>
      <c r="P361" s="129"/>
    </row>
    <row r="362" spans="1:16" s="16" customFormat="1" x14ac:dyDescent="0.2">
      <c r="A362" s="1" t="s">
        <v>1385</v>
      </c>
      <c r="B362" s="1" t="s">
        <v>1386</v>
      </c>
      <c r="C362" s="1" t="s">
        <v>1399</v>
      </c>
      <c r="D362" s="142" t="s">
        <v>583</v>
      </c>
      <c r="E362" s="143" t="s">
        <v>485</v>
      </c>
      <c r="F362" s="144" t="s">
        <v>486</v>
      </c>
      <c r="G362" s="143" t="s">
        <v>250</v>
      </c>
      <c r="H362" s="145">
        <v>30</v>
      </c>
      <c r="I362" s="146">
        <v>27.263999999999999</v>
      </c>
      <c r="J362" s="129">
        <v>2500</v>
      </c>
      <c r="K362" s="129">
        <f t="shared" si="17"/>
        <v>68160</v>
      </c>
      <c r="L362" s="129"/>
      <c r="M362" s="129"/>
      <c r="N362" s="129">
        <f>+I362*J362</f>
        <v>68160</v>
      </c>
      <c r="O362" s="129"/>
      <c r="P362" s="129"/>
    </row>
    <row r="363" spans="1:16" s="1" customFormat="1" ht="38.25" x14ac:dyDescent="0.2">
      <c r="A363" s="1" t="s">
        <v>1385</v>
      </c>
      <c r="B363" s="1" t="s">
        <v>1386</v>
      </c>
      <c r="C363" s="1" t="s">
        <v>1397</v>
      </c>
      <c r="D363" s="130" t="s">
        <v>584</v>
      </c>
      <c r="E363" s="131" t="s">
        <v>444</v>
      </c>
      <c r="F363" s="131" t="s">
        <v>445</v>
      </c>
      <c r="G363" s="132" t="s">
        <v>21</v>
      </c>
      <c r="H363" s="133">
        <v>0.90880000000000005</v>
      </c>
      <c r="I363" s="133"/>
      <c r="J363" s="129"/>
      <c r="K363" s="129"/>
      <c r="L363" s="129"/>
      <c r="M363" s="129"/>
      <c r="N363" s="129"/>
      <c r="O363" s="129"/>
      <c r="P363" s="129"/>
    </row>
    <row r="364" spans="1:16" s="14" customFormat="1" x14ac:dyDescent="0.2">
      <c r="A364" s="1" t="s">
        <v>1385</v>
      </c>
      <c r="B364" s="1" t="s">
        <v>1386</v>
      </c>
      <c r="C364" s="1" t="s">
        <v>24</v>
      </c>
      <c r="D364" s="134" t="s">
        <v>585</v>
      </c>
      <c r="E364" s="135" t="s">
        <v>18</v>
      </c>
      <c r="F364" s="136" t="s">
        <v>23</v>
      </c>
      <c r="G364" s="135" t="s">
        <v>24</v>
      </c>
      <c r="H364" s="137">
        <v>39.51</v>
      </c>
      <c r="I364" s="137">
        <v>35.906700000000001</v>
      </c>
      <c r="J364" s="129">
        <v>22914.53</v>
      </c>
      <c r="K364" s="129">
        <f>+J364*I364</f>
        <v>822785.15435099998</v>
      </c>
      <c r="L364" s="129">
        <f>+I364*J364</f>
        <v>822785.15435099998</v>
      </c>
      <c r="M364" s="129"/>
      <c r="N364" s="129"/>
      <c r="O364" s="129"/>
      <c r="P364" s="129"/>
    </row>
    <row r="365" spans="1:16" s="16" customFormat="1" x14ac:dyDescent="0.2">
      <c r="A365" s="1" t="s">
        <v>1385</v>
      </c>
      <c r="B365" s="1" t="s">
        <v>1386</v>
      </c>
      <c r="C365" s="1" t="s">
        <v>1399</v>
      </c>
      <c r="D365" s="142" t="s">
        <v>586</v>
      </c>
      <c r="E365" s="143" t="s">
        <v>448</v>
      </c>
      <c r="F365" s="144" t="s">
        <v>449</v>
      </c>
      <c r="G365" s="143" t="s">
        <v>420</v>
      </c>
      <c r="H365" s="146">
        <v>2.04</v>
      </c>
      <c r="I365" s="146">
        <v>1.8540000000000001</v>
      </c>
      <c r="J365" s="129">
        <v>484821</v>
      </c>
      <c r="K365" s="129">
        <f>+J365*I365</f>
        <v>898858.13400000008</v>
      </c>
      <c r="L365" s="129"/>
      <c r="M365" s="129"/>
      <c r="N365" s="129">
        <f>+I365*J365</f>
        <v>898858.13400000008</v>
      </c>
      <c r="O365" s="129"/>
      <c r="P365" s="129"/>
    </row>
    <row r="366" spans="1:16" s="1" customFormat="1" ht="51" x14ac:dyDescent="0.2">
      <c r="A366" s="1" t="s">
        <v>1385</v>
      </c>
      <c r="B366" s="1" t="s">
        <v>1386</v>
      </c>
      <c r="C366" s="1" t="s">
        <v>1397</v>
      </c>
      <c r="D366" s="130" t="s">
        <v>587</v>
      </c>
      <c r="E366" s="131" t="s">
        <v>514</v>
      </c>
      <c r="F366" s="131" t="s">
        <v>515</v>
      </c>
      <c r="G366" s="132" t="s">
        <v>21</v>
      </c>
      <c r="H366" s="133">
        <v>0.90880000000000005</v>
      </c>
      <c r="I366" s="133"/>
      <c r="J366" s="129"/>
      <c r="K366" s="129"/>
      <c r="L366" s="129"/>
      <c r="M366" s="129"/>
      <c r="N366" s="129"/>
      <c r="O366" s="129"/>
      <c r="P366" s="129"/>
    </row>
    <row r="367" spans="1:16" s="14" customFormat="1" x14ac:dyDescent="0.2">
      <c r="A367" s="1" t="s">
        <v>1385</v>
      </c>
      <c r="B367" s="1" t="s">
        <v>1386</v>
      </c>
      <c r="C367" s="1" t="s">
        <v>24</v>
      </c>
      <c r="D367" s="134" t="s">
        <v>588</v>
      </c>
      <c r="E367" s="135" t="s">
        <v>18</v>
      </c>
      <c r="F367" s="136" t="s">
        <v>23</v>
      </c>
      <c r="G367" s="135" t="s">
        <v>24</v>
      </c>
      <c r="H367" s="137">
        <v>119.78</v>
      </c>
      <c r="I367" s="137">
        <v>108.8561</v>
      </c>
      <c r="J367" s="129">
        <v>22914.53</v>
      </c>
      <c r="K367" s="129">
        <f t="shared" ref="K367:K372" si="18">+J367*I367</f>
        <v>2494386.3691329998</v>
      </c>
      <c r="L367" s="129">
        <f>+I367*J367</f>
        <v>2494386.3691329998</v>
      </c>
      <c r="M367" s="129"/>
      <c r="N367" s="129"/>
      <c r="O367" s="129"/>
      <c r="P367" s="129"/>
    </row>
    <row r="368" spans="1:16" s="15" customFormat="1" x14ac:dyDescent="0.2">
      <c r="A368" s="1" t="s">
        <v>1385</v>
      </c>
      <c r="B368" s="1" t="s">
        <v>1386</v>
      </c>
      <c r="C368" s="1" t="s">
        <v>28</v>
      </c>
      <c r="D368" s="138" t="s">
        <v>589</v>
      </c>
      <c r="E368" s="139" t="s">
        <v>30</v>
      </c>
      <c r="F368" s="140" t="s">
        <v>31</v>
      </c>
      <c r="G368" s="139" t="s">
        <v>28</v>
      </c>
      <c r="H368" s="141">
        <v>0.28000000000000003</v>
      </c>
      <c r="I368" s="141">
        <v>0.25446400000000002</v>
      </c>
      <c r="J368" s="129">
        <v>106655</v>
      </c>
      <c r="K368" s="129">
        <f t="shared" si="18"/>
        <v>27139.857920000002</v>
      </c>
      <c r="L368" s="129"/>
      <c r="M368" s="129">
        <f>+J368*I368</f>
        <v>27139.857920000002</v>
      </c>
      <c r="N368" s="129"/>
      <c r="O368" s="129"/>
      <c r="P368" s="129"/>
    </row>
    <row r="369" spans="1:16" s="15" customFormat="1" x14ac:dyDescent="0.2">
      <c r="A369" s="1" t="s">
        <v>1385</v>
      </c>
      <c r="B369" s="1" t="s">
        <v>1386</v>
      </c>
      <c r="C369" s="1" t="s">
        <v>28</v>
      </c>
      <c r="D369" s="138" t="s">
        <v>590</v>
      </c>
      <c r="E369" s="139" t="s">
        <v>519</v>
      </c>
      <c r="F369" s="140" t="s">
        <v>520</v>
      </c>
      <c r="G369" s="139" t="s">
        <v>28</v>
      </c>
      <c r="H369" s="141">
        <v>1.56</v>
      </c>
      <c r="I369" s="141">
        <v>1.4177</v>
      </c>
      <c r="J369" s="129">
        <v>21745</v>
      </c>
      <c r="K369" s="129">
        <f t="shared" si="18"/>
        <v>30827.886500000001</v>
      </c>
      <c r="L369" s="129"/>
      <c r="M369" s="129">
        <f>+J369*I369</f>
        <v>30827.886500000001</v>
      </c>
      <c r="N369" s="129"/>
      <c r="O369" s="129"/>
      <c r="P369" s="129"/>
    </row>
    <row r="370" spans="1:16" s="16" customFormat="1" ht="24" x14ac:dyDescent="0.2">
      <c r="A370" s="1" t="s">
        <v>1385</v>
      </c>
      <c r="B370" s="1" t="s">
        <v>1386</v>
      </c>
      <c r="C370" s="1" t="s">
        <v>1399</v>
      </c>
      <c r="D370" s="142" t="s">
        <v>591</v>
      </c>
      <c r="E370" s="143" t="s">
        <v>522</v>
      </c>
      <c r="F370" s="144" t="s">
        <v>523</v>
      </c>
      <c r="G370" s="143" t="s">
        <v>38</v>
      </c>
      <c r="H370" s="145">
        <v>102</v>
      </c>
      <c r="I370" s="146">
        <v>92.697599999999994</v>
      </c>
      <c r="J370" s="129">
        <v>48000</v>
      </c>
      <c r="K370" s="129">
        <f t="shared" si="18"/>
        <v>4449484.7999999998</v>
      </c>
      <c r="L370" s="129"/>
      <c r="M370" s="129"/>
      <c r="N370" s="129">
        <f>+I370*J370</f>
        <v>4449484.7999999998</v>
      </c>
      <c r="O370" s="129"/>
      <c r="P370" s="129"/>
    </row>
    <row r="371" spans="1:16" s="16" customFormat="1" x14ac:dyDescent="0.2">
      <c r="A371" s="1" t="s">
        <v>1385</v>
      </c>
      <c r="B371" s="1" t="s">
        <v>1386</v>
      </c>
      <c r="C371" s="1" t="s">
        <v>1399</v>
      </c>
      <c r="D371" s="142" t="s">
        <v>592</v>
      </c>
      <c r="E371" s="143" t="s">
        <v>525</v>
      </c>
      <c r="F371" s="144" t="s">
        <v>526</v>
      </c>
      <c r="G371" s="143" t="s">
        <v>250</v>
      </c>
      <c r="H371" s="145">
        <v>450</v>
      </c>
      <c r="I371" s="146">
        <v>408.96</v>
      </c>
      <c r="J371" s="129">
        <v>1150</v>
      </c>
      <c r="K371" s="129">
        <f t="shared" si="18"/>
        <v>470304</v>
      </c>
      <c r="L371" s="129"/>
      <c r="M371" s="129"/>
      <c r="N371" s="129">
        <f>+I371*J371</f>
        <v>470304</v>
      </c>
      <c r="O371" s="129"/>
      <c r="P371" s="129"/>
    </row>
    <row r="372" spans="1:16" s="16" customFormat="1" x14ac:dyDescent="0.2">
      <c r="A372" s="1" t="s">
        <v>1385</v>
      </c>
      <c r="B372" s="1" t="s">
        <v>1386</v>
      </c>
      <c r="C372" s="1" t="s">
        <v>1399</v>
      </c>
      <c r="D372" s="142" t="s">
        <v>593</v>
      </c>
      <c r="E372" s="143" t="s">
        <v>528</v>
      </c>
      <c r="F372" s="144" t="s">
        <v>529</v>
      </c>
      <c r="G372" s="143" t="s">
        <v>107</v>
      </c>
      <c r="H372" s="146">
        <v>0.05</v>
      </c>
      <c r="I372" s="146">
        <v>4.5440000000000001E-2</v>
      </c>
      <c r="J372" s="129">
        <v>1150000</v>
      </c>
      <c r="K372" s="129">
        <f t="shared" si="18"/>
        <v>52256</v>
      </c>
      <c r="L372" s="129"/>
      <c r="M372" s="129"/>
      <c r="N372" s="129">
        <f>+I372*J372</f>
        <v>52256</v>
      </c>
      <c r="O372" s="129"/>
      <c r="P372" s="129"/>
    </row>
    <row r="373" spans="1:16" ht="15.75" x14ac:dyDescent="0.25">
      <c r="A373" s="1" t="s">
        <v>1385</v>
      </c>
      <c r="B373" s="1" t="s">
        <v>1386</v>
      </c>
      <c r="C373" s="1"/>
      <c r="D373" s="127" t="s">
        <v>594</v>
      </c>
      <c r="E373" s="128"/>
      <c r="F373" s="128"/>
      <c r="G373" s="128"/>
      <c r="H373" s="128"/>
      <c r="I373" s="128"/>
      <c r="J373" s="129"/>
      <c r="K373" s="129"/>
      <c r="L373" s="129"/>
      <c r="M373" s="129"/>
      <c r="N373" s="129"/>
      <c r="O373" s="129"/>
      <c r="P373" s="129"/>
    </row>
    <row r="374" spans="1:16" s="1" customFormat="1" ht="51" x14ac:dyDescent="0.2">
      <c r="A374" s="1" t="s">
        <v>1385</v>
      </c>
      <c r="B374" s="1" t="s">
        <v>1386</v>
      </c>
      <c r="C374" s="1" t="s">
        <v>1397</v>
      </c>
      <c r="D374" s="130" t="s">
        <v>595</v>
      </c>
      <c r="E374" s="131" t="s">
        <v>548</v>
      </c>
      <c r="F374" s="131" t="s">
        <v>549</v>
      </c>
      <c r="G374" s="132" t="s">
        <v>21</v>
      </c>
      <c r="H374" s="133">
        <v>21.536999999999999</v>
      </c>
      <c r="I374" s="133"/>
      <c r="J374" s="129"/>
      <c r="K374" s="129"/>
      <c r="L374" s="129"/>
      <c r="M374" s="129"/>
      <c r="N374" s="129"/>
      <c r="O374" s="129"/>
      <c r="P374" s="129"/>
    </row>
    <row r="375" spans="1:16" s="14" customFormat="1" x14ac:dyDescent="0.2">
      <c r="A375" s="1" t="s">
        <v>1385</v>
      </c>
      <c r="B375" s="1" t="s">
        <v>1386</v>
      </c>
      <c r="C375" s="1" t="s">
        <v>24</v>
      </c>
      <c r="D375" s="134" t="s">
        <v>596</v>
      </c>
      <c r="E375" s="135" t="s">
        <v>18</v>
      </c>
      <c r="F375" s="136" t="s">
        <v>23</v>
      </c>
      <c r="G375" s="135" t="s">
        <v>24</v>
      </c>
      <c r="H375" s="137">
        <v>14.36</v>
      </c>
      <c r="I375" s="137">
        <v>309.2713</v>
      </c>
      <c r="J375" s="129">
        <v>22914.53</v>
      </c>
      <c r="K375" s="129">
        <f>+J375*I375</f>
        <v>7086806.481989</v>
      </c>
      <c r="L375" s="129">
        <f>+I375*J375</f>
        <v>7086806.481989</v>
      </c>
      <c r="M375" s="129"/>
      <c r="N375" s="129"/>
      <c r="O375" s="129"/>
      <c r="P375" s="129"/>
    </row>
    <row r="376" spans="1:16" s="15" customFormat="1" x14ac:dyDescent="0.2">
      <c r="A376" s="1" t="s">
        <v>1385</v>
      </c>
      <c r="B376" s="1" t="s">
        <v>1386</v>
      </c>
      <c r="C376" s="1" t="s">
        <v>28</v>
      </c>
      <c r="D376" s="138" t="s">
        <v>597</v>
      </c>
      <c r="E376" s="139" t="s">
        <v>30</v>
      </c>
      <c r="F376" s="140" t="s">
        <v>31</v>
      </c>
      <c r="G376" s="139" t="s">
        <v>28</v>
      </c>
      <c r="H376" s="141">
        <v>0.25</v>
      </c>
      <c r="I376" s="141">
        <v>5.3841999999999999</v>
      </c>
      <c r="J376" s="129">
        <v>106655</v>
      </c>
      <c r="K376" s="129">
        <f>+J376*I376</f>
        <v>574251.85100000002</v>
      </c>
      <c r="L376" s="129"/>
      <c r="M376" s="129">
        <f>+J376*I376</f>
        <v>574251.85100000002</v>
      </c>
      <c r="N376" s="129"/>
      <c r="O376" s="129"/>
      <c r="P376" s="129"/>
    </row>
    <row r="377" spans="1:16" s="16" customFormat="1" ht="24" x14ac:dyDescent="0.2">
      <c r="A377" s="1" t="s">
        <v>1385</v>
      </c>
      <c r="B377" s="1" t="s">
        <v>1386</v>
      </c>
      <c r="C377" s="1" t="s">
        <v>1399</v>
      </c>
      <c r="D377" s="142" t="s">
        <v>598</v>
      </c>
      <c r="E377" s="143" t="s">
        <v>553</v>
      </c>
      <c r="F377" s="144" t="s">
        <v>554</v>
      </c>
      <c r="G377" s="143" t="s">
        <v>38</v>
      </c>
      <c r="H377" s="145">
        <v>103</v>
      </c>
      <c r="I377" s="146">
        <v>2218.3110000000001</v>
      </c>
      <c r="J377" s="129">
        <v>30357</v>
      </c>
      <c r="K377" s="129">
        <f>+J377*I377</f>
        <v>67341267.02700001</v>
      </c>
      <c r="L377" s="129"/>
      <c r="M377" s="129"/>
      <c r="N377" s="129">
        <f>+I377*J377</f>
        <v>67341267.02700001</v>
      </c>
      <c r="O377" s="129"/>
      <c r="P377" s="129"/>
    </row>
    <row r="378" spans="1:16" s="1" customFormat="1" x14ac:dyDescent="0.2">
      <c r="A378" s="1" t="s">
        <v>1385</v>
      </c>
      <c r="B378" s="1" t="s">
        <v>1386</v>
      </c>
      <c r="C378" s="1" t="s">
        <v>1397</v>
      </c>
      <c r="D378" s="130" t="s">
        <v>599</v>
      </c>
      <c r="E378" s="131" t="s">
        <v>433</v>
      </c>
      <c r="F378" s="131" t="s">
        <v>434</v>
      </c>
      <c r="G378" s="132" t="s">
        <v>107</v>
      </c>
      <c r="H378" s="133">
        <v>3.3167</v>
      </c>
      <c r="I378" s="133"/>
      <c r="J378" s="129"/>
      <c r="K378" s="129"/>
      <c r="L378" s="129"/>
      <c r="M378" s="129"/>
      <c r="N378" s="129"/>
      <c r="O378" s="129"/>
      <c r="P378" s="129"/>
    </row>
    <row r="379" spans="1:16" s="14" customFormat="1" x14ac:dyDescent="0.2">
      <c r="A379" s="1" t="s">
        <v>1385</v>
      </c>
      <c r="B379" s="1" t="s">
        <v>1386</v>
      </c>
      <c r="C379" s="1" t="s">
        <v>24</v>
      </c>
      <c r="D379" s="134" t="s">
        <v>600</v>
      </c>
      <c r="E379" s="135" t="s">
        <v>18</v>
      </c>
      <c r="F379" s="136" t="s">
        <v>23</v>
      </c>
      <c r="G379" s="135" t="s">
        <v>24</v>
      </c>
      <c r="H379" s="137">
        <v>12.64</v>
      </c>
      <c r="I379" s="137">
        <v>41.923099999999998</v>
      </c>
      <c r="J379" s="129">
        <v>22914.53</v>
      </c>
      <c r="K379" s="129">
        <f>+J379*I379</f>
        <v>960648.13264299987</v>
      </c>
      <c r="L379" s="129">
        <f>+I379*J379</f>
        <v>960648.13264299987</v>
      </c>
      <c r="M379" s="129"/>
      <c r="N379" s="129"/>
      <c r="O379" s="129"/>
      <c r="P379" s="129"/>
    </row>
    <row r="380" spans="1:16" s="15" customFormat="1" x14ac:dyDescent="0.2">
      <c r="A380" s="1" t="s">
        <v>1385</v>
      </c>
      <c r="B380" s="1" t="s">
        <v>1386</v>
      </c>
      <c r="C380" s="1" t="s">
        <v>28</v>
      </c>
      <c r="D380" s="138" t="s">
        <v>601</v>
      </c>
      <c r="E380" s="139" t="s">
        <v>30</v>
      </c>
      <c r="F380" s="140" t="s">
        <v>31</v>
      </c>
      <c r="G380" s="139" t="s">
        <v>28</v>
      </c>
      <c r="H380" s="141">
        <v>0.22</v>
      </c>
      <c r="I380" s="141">
        <v>0.72967300000000002</v>
      </c>
      <c r="J380" s="129">
        <v>106655</v>
      </c>
      <c r="K380" s="129">
        <f>+J380*I380</f>
        <v>77823.273815000008</v>
      </c>
      <c r="L380" s="129"/>
      <c r="M380" s="129">
        <f>+J380*I380</f>
        <v>77823.273815000008</v>
      </c>
      <c r="N380" s="129"/>
      <c r="O380" s="129"/>
      <c r="P380" s="129"/>
    </row>
    <row r="381" spans="1:16" s="16" customFormat="1" x14ac:dyDescent="0.2">
      <c r="A381" s="1" t="s">
        <v>1385</v>
      </c>
      <c r="B381" s="1" t="s">
        <v>1386</v>
      </c>
      <c r="C381" s="1" t="s">
        <v>1399</v>
      </c>
      <c r="D381" s="142" t="s">
        <v>602</v>
      </c>
      <c r="E381" s="143" t="s">
        <v>438</v>
      </c>
      <c r="F381" s="144" t="s">
        <v>439</v>
      </c>
      <c r="G381" s="143" t="s">
        <v>107</v>
      </c>
      <c r="H381" s="145">
        <v>1</v>
      </c>
      <c r="I381" s="146">
        <v>3.3167</v>
      </c>
      <c r="J381" s="129">
        <v>8036000</v>
      </c>
      <c r="K381" s="129">
        <f>+J381*I381</f>
        <v>26653001.199999999</v>
      </c>
      <c r="L381" s="129"/>
      <c r="M381" s="129"/>
      <c r="N381" s="129">
        <f>+I381*J381</f>
        <v>26653001.199999999</v>
      </c>
      <c r="O381" s="129"/>
      <c r="P381" s="129"/>
    </row>
    <row r="382" spans="1:16" s="16" customFormat="1" x14ac:dyDescent="0.2">
      <c r="A382" s="1" t="s">
        <v>1385</v>
      </c>
      <c r="B382" s="1" t="s">
        <v>1386</v>
      </c>
      <c r="C382" s="1" t="s">
        <v>1399</v>
      </c>
      <c r="D382" s="142" t="s">
        <v>603</v>
      </c>
      <c r="E382" s="143" t="s">
        <v>441</v>
      </c>
      <c r="F382" s="144" t="s">
        <v>442</v>
      </c>
      <c r="G382" s="143" t="s">
        <v>107</v>
      </c>
      <c r="H382" s="146">
        <v>2.8000000000000001E-2</v>
      </c>
      <c r="I382" s="146">
        <v>9.2868000000000006E-2</v>
      </c>
      <c r="J382" s="129">
        <v>9500000</v>
      </c>
      <c r="K382" s="129">
        <f>+J382*I382</f>
        <v>882246</v>
      </c>
      <c r="L382" s="129"/>
      <c r="M382" s="129"/>
      <c r="N382" s="129">
        <f>+I382*J382</f>
        <v>882246</v>
      </c>
      <c r="O382" s="129"/>
      <c r="P382" s="129"/>
    </row>
    <row r="383" spans="1:16" s="1" customFormat="1" ht="38.25" x14ac:dyDescent="0.2">
      <c r="A383" s="1" t="s">
        <v>1385</v>
      </c>
      <c r="B383" s="1" t="s">
        <v>1386</v>
      </c>
      <c r="C383" s="1" t="s">
        <v>1397</v>
      </c>
      <c r="D383" s="130" t="s">
        <v>604</v>
      </c>
      <c r="E383" s="131" t="s">
        <v>444</v>
      </c>
      <c r="F383" s="131" t="s">
        <v>445</v>
      </c>
      <c r="G383" s="132" t="s">
        <v>21</v>
      </c>
      <c r="H383" s="133">
        <v>21.536999999999999</v>
      </c>
      <c r="I383" s="133"/>
      <c r="J383" s="129"/>
      <c r="K383" s="129"/>
      <c r="L383" s="129"/>
      <c r="M383" s="129"/>
      <c r="N383" s="129"/>
      <c r="O383" s="129"/>
      <c r="P383" s="129"/>
    </row>
    <row r="384" spans="1:16" s="14" customFormat="1" x14ac:dyDescent="0.2">
      <c r="A384" s="1" t="s">
        <v>1385</v>
      </c>
      <c r="B384" s="1" t="s">
        <v>1386</v>
      </c>
      <c r="C384" s="1" t="s">
        <v>24</v>
      </c>
      <c r="D384" s="134" t="s">
        <v>605</v>
      </c>
      <c r="E384" s="135" t="s">
        <v>18</v>
      </c>
      <c r="F384" s="136" t="s">
        <v>23</v>
      </c>
      <c r="G384" s="135" t="s">
        <v>24</v>
      </c>
      <c r="H384" s="137">
        <v>39.51</v>
      </c>
      <c r="I384" s="137">
        <v>850.92690000000005</v>
      </c>
      <c r="J384" s="129">
        <v>22914.53</v>
      </c>
      <c r="K384" s="129">
        <f>+J384*I384</f>
        <v>19498589.977857001</v>
      </c>
      <c r="L384" s="129">
        <f>+I384*J384</f>
        <v>19498589.977857001</v>
      </c>
      <c r="M384" s="129"/>
      <c r="N384" s="129"/>
      <c r="O384" s="129"/>
      <c r="P384" s="129"/>
    </row>
    <row r="385" spans="1:16" s="16" customFormat="1" x14ac:dyDescent="0.2">
      <c r="A385" s="1" t="s">
        <v>1385</v>
      </c>
      <c r="B385" s="1" t="s">
        <v>1386</v>
      </c>
      <c r="C385" s="1" t="s">
        <v>1399</v>
      </c>
      <c r="D385" s="142" t="s">
        <v>606</v>
      </c>
      <c r="E385" s="143" t="s">
        <v>448</v>
      </c>
      <c r="F385" s="144" t="s">
        <v>449</v>
      </c>
      <c r="G385" s="143" t="s">
        <v>420</v>
      </c>
      <c r="H385" s="146">
        <v>2.04</v>
      </c>
      <c r="I385" s="146">
        <v>43.935499999999998</v>
      </c>
      <c r="J385" s="129">
        <v>484821</v>
      </c>
      <c r="K385" s="129">
        <f>+J385*I385</f>
        <v>21300853.045499999</v>
      </c>
      <c r="L385" s="129"/>
      <c r="M385" s="129"/>
      <c r="N385" s="129">
        <f>+I385*J385</f>
        <v>21300853.045499999</v>
      </c>
      <c r="O385" s="129"/>
      <c r="P385" s="129"/>
    </row>
    <row r="386" spans="1:16" s="1" customFormat="1" ht="38.25" x14ac:dyDescent="0.2">
      <c r="A386" s="1" t="s">
        <v>1385</v>
      </c>
      <c r="B386" s="1" t="s">
        <v>1386</v>
      </c>
      <c r="C386" s="1" t="s">
        <v>1397</v>
      </c>
      <c r="D386" s="130" t="s">
        <v>607</v>
      </c>
      <c r="E386" s="131" t="s">
        <v>451</v>
      </c>
      <c r="F386" s="131" t="s">
        <v>452</v>
      </c>
      <c r="G386" s="132" t="s">
        <v>21</v>
      </c>
      <c r="H386" s="133">
        <v>21.536999999999999</v>
      </c>
      <c r="I386" s="133"/>
      <c r="J386" s="129"/>
      <c r="K386" s="129"/>
      <c r="L386" s="129"/>
      <c r="M386" s="129"/>
      <c r="N386" s="129"/>
      <c r="O386" s="129"/>
      <c r="P386" s="129"/>
    </row>
    <row r="387" spans="1:16" s="14" customFormat="1" x14ac:dyDescent="0.2">
      <c r="A387" s="1" t="s">
        <v>1385</v>
      </c>
      <c r="B387" s="1" t="s">
        <v>1386</v>
      </c>
      <c r="C387" s="1" t="s">
        <v>24</v>
      </c>
      <c r="D387" s="134" t="s">
        <v>608</v>
      </c>
      <c r="E387" s="135" t="s">
        <v>18</v>
      </c>
      <c r="F387" s="136" t="s">
        <v>23</v>
      </c>
      <c r="G387" s="135" t="s">
        <v>24</v>
      </c>
      <c r="H387" s="147">
        <v>4</v>
      </c>
      <c r="I387" s="137">
        <v>86.147999999999996</v>
      </c>
      <c r="J387" s="129">
        <v>22914.53</v>
      </c>
      <c r="K387" s="129">
        <f>+J387*I387</f>
        <v>1974040.9304399998</v>
      </c>
      <c r="L387" s="129">
        <f>+I387*J387</f>
        <v>1974040.9304399998</v>
      </c>
      <c r="M387" s="129"/>
      <c r="N387" s="129"/>
      <c r="O387" s="129"/>
      <c r="P387" s="129"/>
    </row>
    <row r="388" spans="1:16" s="16" customFormat="1" x14ac:dyDescent="0.2">
      <c r="A388" s="1" t="s">
        <v>1385</v>
      </c>
      <c r="B388" s="1" t="s">
        <v>1386</v>
      </c>
      <c r="C388" s="1" t="s">
        <v>1399</v>
      </c>
      <c r="D388" s="142" t="s">
        <v>609</v>
      </c>
      <c r="E388" s="143" t="s">
        <v>448</v>
      </c>
      <c r="F388" s="144" t="s">
        <v>449</v>
      </c>
      <c r="G388" s="143" t="s">
        <v>420</v>
      </c>
      <c r="H388" s="146">
        <v>4.08</v>
      </c>
      <c r="I388" s="146">
        <v>87.870999999999995</v>
      </c>
      <c r="J388" s="129">
        <v>484821</v>
      </c>
      <c r="K388" s="129">
        <f>+J388*I388</f>
        <v>42601706.090999998</v>
      </c>
      <c r="L388" s="129"/>
      <c r="M388" s="129"/>
      <c r="N388" s="129">
        <f>+I388*J388</f>
        <v>42601706.090999998</v>
      </c>
      <c r="O388" s="129"/>
      <c r="P388" s="129"/>
    </row>
    <row r="389" spans="1:16" s="1" customFormat="1" ht="38.25" x14ac:dyDescent="0.2">
      <c r="A389" s="1" t="s">
        <v>1385</v>
      </c>
      <c r="B389" s="1" t="s">
        <v>1386</v>
      </c>
      <c r="C389" s="1" t="s">
        <v>1397</v>
      </c>
      <c r="D389" s="130" t="s">
        <v>610</v>
      </c>
      <c r="E389" s="131" t="s">
        <v>456</v>
      </c>
      <c r="F389" s="131" t="s">
        <v>457</v>
      </c>
      <c r="G389" s="132" t="s">
        <v>21</v>
      </c>
      <c r="H389" s="133">
        <v>21.536999999999999</v>
      </c>
      <c r="I389" s="133"/>
      <c r="J389" s="129"/>
      <c r="K389" s="129"/>
      <c r="L389" s="129"/>
      <c r="M389" s="129"/>
      <c r="N389" s="129"/>
      <c r="O389" s="129"/>
      <c r="P389" s="129"/>
    </row>
    <row r="390" spans="1:16" s="14" customFormat="1" x14ac:dyDescent="0.2">
      <c r="A390" s="1" t="s">
        <v>1385</v>
      </c>
      <c r="B390" s="1" t="s">
        <v>1386</v>
      </c>
      <c r="C390" s="1" t="s">
        <v>24</v>
      </c>
      <c r="D390" s="134" t="s">
        <v>611</v>
      </c>
      <c r="E390" s="135" t="s">
        <v>18</v>
      </c>
      <c r="F390" s="136" t="s">
        <v>23</v>
      </c>
      <c r="G390" s="135" t="s">
        <v>24</v>
      </c>
      <c r="H390" s="137">
        <v>19.84</v>
      </c>
      <c r="I390" s="137">
        <v>427.29410000000001</v>
      </c>
      <c r="J390" s="129">
        <v>22914.53</v>
      </c>
      <c r="K390" s="129">
        <f>+J390*I390</f>
        <v>9791243.4732729997</v>
      </c>
      <c r="L390" s="129">
        <f>+I390*J390</f>
        <v>9791243.4732729997</v>
      </c>
      <c r="M390" s="129"/>
      <c r="N390" s="129"/>
      <c r="O390" s="129"/>
      <c r="P390" s="129"/>
    </row>
    <row r="391" spans="1:16" s="15" customFormat="1" x14ac:dyDescent="0.2">
      <c r="A391" s="1" t="s">
        <v>1385</v>
      </c>
      <c r="B391" s="1" t="s">
        <v>1386</v>
      </c>
      <c r="C391" s="1" t="s">
        <v>28</v>
      </c>
      <c r="D391" s="138" t="s">
        <v>612</v>
      </c>
      <c r="E391" s="139" t="s">
        <v>30</v>
      </c>
      <c r="F391" s="140" t="s">
        <v>31</v>
      </c>
      <c r="G391" s="139" t="s">
        <v>28</v>
      </c>
      <c r="H391" s="141">
        <v>0.27</v>
      </c>
      <c r="I391" s="141">
        <v>5.8150000000000004</v>
      </c>
      <c r="J391" s="129">
        <v>106655</v>
      </c>
      <c r="K391" s="129">
        <f>+J391*I391</f>
        <v>620198.82500000007</v>
      </c>
      <c r="L391" s="129"/>
      <c r="M391" s="129">
        <f>+J391*I391</f>
        <v>620198.82500000007</v>
      </c>
      <c r="N391" s="129"/>
      <c r="O391" s="129"/>
      <c r="P391" s="129"/>
    </row>
    <row r="392" spans="1:16" s="16" customFormat="1" x14ac:dyDescent="0.2">
      <c r="A392" s="1" t="s">
        <v>1385</v>
      </c>
      <c r="B392" s="1" t="s">
        <v>1386</v>
      </c>
      <c r="C392" s="1" t="s">
        <v>1399</v>
      </c>
      <c r="D392" s="142" t="s">
        <v>613</v>
      </c>
      <c r="E392" s="143" t="s">
        <v>461</v>
      </c>
      <c r="F392" s="144" t="s">
        <v>462</v>
      </c>
      <c r="G392" s="143" t="s">
        <v>38</v>
      </c>
      <c r="H392" s="145">
        <v>102</v>
      </c>
      <c r="I392" s="146">
        <v>2196.7739999999999</v>
      </c>
      <c r="J392" s="129">
        <v>2000</v>
      </c>
      <c r="K392" s="129">
        <f>+J392*I392</f>
        <v>4393548</v>
      </c>
      <c r="L392" s="129"/>
      <c r="M392" s="129"/>
      <c r="N392" s="129">
        <f>+I392*J392</f>
        <v>4393548</v>
      </c>
      <c r="O392" s="129"/>
      <c r="P392" s="129"/>
    </row>
    <row r="393" spans="1:16" s="16" customFormat="1" x14ac:dyDescent="0.2">
      <c r="A393" s="1" t="s">
        <v>1385</v>
      </c>
      <c r="B393" s="1" t="s">
        <v>1386</v>
      </c>
      <c r="C393" s="1" t="s">
        <v>1399</v>
      </c>
      <c r="D393" s="142" t="s">
        <v>614</v>
      </c>
      <c r="E393" s="143" t="s">
        <v>464</v>
      </c>
      <c r="F393" s="144" t="s">
        <v>465</v>
      </c>
      <c r="G393" s="143" t="s">
        <v>38</v>
      </c>
      <c r="H393" s="145">
        <v>104</v>
      </c>
      <c r="I393" s="146">
        <v>2239.848</v>
      </c>
      <c r="J393" s="129">
        <v>71428.57142857142</v>
      </c>
      <c r="K393" s="129">
        <f>+J393*I393</f>
        <v>159989142.85714284</v>
      </c>
      <c r="L393" s="129"/>
      <c r="M393" s="129"/>
      <c r="N393" s="129">
        <f>+I393*J393</f>
        <v>159989142.85714284</v>
      </c>
      <c r="O393" s="129"/>
      <c r="P393" s="129"/>
    </row>
    <row r="394" spans="1:16" ht="15.75" x14ac:dyDescent="0.25">
      <c r="A394" s="1" t="s">
        <v>1385</v>
      </c>
      <c r="B394" s="1" t="s">
        <v>1386</v>
      </c>
      <c r="C394" s="1"/>
      <c r="D394" s="127" t="s">
        <v>615</v>
      </c>
      <c r="E394" s="128"/>
      <c r="F394" s="128"/>
      <c r="G394" s="128"/>
      <c r="H394" s="128"/>
      <c r="I394" s="128"/>
      <c r="J394" s="129"/>
      <c r="K394" s="129"/>
      <c r="L394" s="129"/>
      <c r="M394" s="129"/>
      <c r="N394" s="129"/>
      <c r="O394" s="129"/>
      <c r="P394" s="129"/>
    </row>
    <row r="395" spans="1:16" s="1" customFormat="1" ht="38.25" x14ac:dyDescent="0.2">
      <c r="A395" s="1" t="s">
        <v>1385</v>
      </c>
      <c r="B395" s="1" t="s">
        <v>1386</v>
      </c>
      <c r="C395" s="1" t="s">
        <v>1397</v>
      </c>
      <c r="D395" s="130" t="s">
        <v>616</v>
      </c>
      <c r="E395" s="131" t="s">
        <v>617</v>
      </c>
      <c r="F395" s="131" t="s">
        <v>618</v>
      </c>
      <c r="G395" s="132" t="s">
        <v>21</v>
      </c>
      <c r="H395" s="133">
        <v>2.1848999999999998</v>
      </c>
      <c r="I395" s="133"/>
      <c r="J395" s="129"/>
      <c r="K395" s="129"/>
      <c r="L395" s="129"/>
      <c r="M395" s="129"/>
      <c r="N395" s="129"/>
      <c r="O395" s="129"/>
      <c r="P395" s="129"/>
    </row>
    <row r="396" spans="1:16" s="14" customFormat="1" x14ac:dyDescent="0.2">
      <c r="A396" s="1" t="s">
        <v>1385</v>
      </c>
      <c r="B396" s="1" t="s">
        <v>1386</v>
      </c>
      <c r="C396" s="1" t="s">
        <v>24</v>
      </c>
      <c r="D396" s="134" t="s">
        <v>619</v>
      </c>
      <c r="E396" s="135" t="s">
        <v>18</v>
      </c>
      <c r="F396" s="136" t="s">
        <v>23</v>
      </c>
      <c r="G396" s="135" t="s">
        <v>24</v>
      </c>
      <c r="H396" s="137">
        <v>172.8</v>
      </c>
      <c r="I396" s="137">
        <v>377.55070000000001</v>
      </c>
      <c r="J396" s="129">
        <v>22914.53</v>
      </c>
      <c r="K396" s="129">
        <f t="shared" ref="K396:K402" si="19">+J396*I396</f>
        <v>8651396.8416709993</v>
      </c>
      <c r="L396" s="129">
        <f>+I396*J396</f>
        <v>8651396.8416709993</v>
      </c>
      <c r="M396" s="129"/>
      <c r="N396" s="129"/>
      <c r="O396" s="129"/>
      <c r="P396" s="129"/>
    </row>
    <row r="397" spans="1:16" s="15" customFormat="1" x14ac:dyDescent="0.2">
      <c r="A397" s="1" t="s">
        <v>1385</v>
      </c>
      <c r="B397" s="1" t="s">
        <v>1386</v>
      </c>
      <c r="C397" s="1" t="s">
        <v>28</v>
      </c>
      <c r="D397" s="138" t="s">
        <v>620</v>
      </c>
      <c r="E397" s="139" t="s">
        <v>262</v>
      </c>
      <c r="F397" s="140" t="s">
        <v>263</v>
      </c>
      <c r="G397" s="139" t="s">
        <v>28</v>
      </c>
      <c r="H397" s="141">
        <v>1.32</v>
      </c>
      <c r="I397" s="141">
        <v>2.8841000000000001</v>
      </c>
      <c r="J397" s="129">
        <v>140201</v>
      </c>
      <c r="K397" s="129">
        <f t="shared" si="19"/>
        <v>404353.70410000003</v>
      </c>
      <c r="L397" s="129"/>
      <c r="M397" s="129">
        <f>+J397*I397</f>
        <v>404353.70410000003</v>
      </c>
      <c r="N397" s="129"/>
      <c r="O397" s="129"/>
      <c r="P397" s="129"/>
    </row>
    <row r="398" spans="1:16" s="15" customFormat="1" x14ac:dyDescent="0.2">
      <c r="A398" s="1" t="s">
        <v>1385</v>
      </c>
      <c r="B398" s="1" t="s">
        <v>1386</v>
      </c>
      <c r="C398" s="1" t="s">
        <v>28</v>
      </c>
      <c r="D398" s="138" t="s">
        <v>621</v>
      </c>
      <c r="E398" s="139" t="s">
        <v>622</v>
      </c>
      <c r="F398" s="140" t="s">
        <v>623</v>
      </c>
      <c r="G398" s="139" t="s">
        <v>28</v>
      </c>
      <c r="H398" s="141">
        <v>1.1200000000000001</v>
      </c>
      <c r="I398" s="141">
        <v>2.4470999999999998</v>
      </c>
      <c r="J398" s="129">
        <v>39075</v>
      </c>
      <c r="K398" s="129">
        <f t="shared" si="19"/>
        <v>95620.432499999995</v>
      </c>
      <c r="L398" s="129"/>
      <c r="M398" s="129">
        <f>+J398*I398</f>
        <v>95620.432499999995</v>
      </c>
      <c r="N398" s="129"/>
      <c r="O398" s="129"/>
      <c r="P398" s="129"/>
    </row>
    <row r="399" spans="1:16" s="15" customFormat="1" x14ac:dyDescent="0.2">
      <c r="A399" s="1" t="s">
        <v>1385</v>
      </c>
      <c r="B399" s="1" t="s">
        <v>1386</v>
      </c>
      <c r="C399" s="1" t="s">
        <v>28</v>
      </c>
      <c r="D399" s="138" t="s">
        <v>624</v>
      </c>
      <c r="E399" s="139" t="s">
        <v>193</v>
      </c>
      <c r="F399" s="140" t="s">
        <v>31</v>
      </c>
      <c r="G399" s="139" t="s">
        <v>28</v>
      </c>
      <c r="H399" s="141">
        <v>0.36</v>
      </c>
      <c r="I399" s="141">
        <v>0.78656400000000004</v>
      </c>
      <c r="J399" s="129">
        <v>106655</v>
      </c>
      <c r="K399" s="129">
        <f t="shared" si="19"/>
        <v>83890.983420000004</v>
      </c>
      <c r="L399" s="129"/>
      <c r="M399" s="129">
        <f>+J399*I399</f>
        <v>83890.983420000004</v>
      </c>
      <c r="N399" s="129"/>
      <c r="O399" s="129"/>
      <c r="P399" s="129"/>
    </row>
    <row r="400" spans="1:16" s="16" customFormat="1" x14ac:dyDescent="0.2">
      <c r="A400" s="1" t="s">
        <v>1385</v>
      </c>
      <c r="B400" s="1" t="s">
        <v>1386</v>
      </c>
      <c r="C400" s="1" t="s">
        <v>1399</v>
      </c>
      <c r="D400" s="142" t="s">
        <v>625</v>
      </c>
      <c r="E400" s="143" t="s">
        <v>626</v>
      </c>
      <c r="F400" s="144" t="s">
        <v>627</v>
      </c>
      <c r="G400" s="143" t="s">
        <v>420</v>
      </c>
      <c r="H400" s="146">
        <v>2.2000000000000002</v>
      </c>
      <c r="I400" s="146">
        <v>4.8068</v>
      </c>
      <c r="J400" s="129">
        <v>484821</v>
      </c>
      <c r="K400" s="129">
        <f t="shared" si="19"/>
        <v>2330437.5828</v>
      </c>
      <c r="L400" s="129"/>
      <c r="M400" s="129"/>
      <c r="N400" s="129">
        <f>+I400*J400</f>
        <v>2330437.5828</v>
      </c>
      <c r="O400" s="129"/>
      <c r="P400" s="129"/>
    </row>
    <row r="401" spans="1:16" s="16" customFormat="1" x14ac:dyDescent="0.2">
      <c r="A401" s="1" t="s">
        <v>1385</v>
      </c>
      <c r="B401" s="1" t="s">
        <v>1386</v>
      </c>
      <c r="C401" s="1" t="s">
        <v>1399</v>
      </c>
      <c r="D401" s="142" t="s">
        <v>628</v>
      </c>
      <c r="E401" s="143" t="s">
        <v>629</v>
      </c>
      <c r="F401" s="144" t="s">
        <v>630</v>
      </c>
      <c r="G401" s="143" t="s">
        <v>38</v>
      </c>
      <c r="H401" s="145">
        <v>100</v>
      </c>
      <c r="I401" s="146">
        <v>218.49</v>
      </c>
      <c r="J401" s="129">
        <v>80000</v>
      </c>
      <c r="K401" s="129">
        <f t="shared" si="19"/>
        <v>17479200</v>
      </c>
      <c r="L401" s="129"/>
      <c r="M401" s="129"/>
      <c r="N401" s="129">
        <f>+I401*J401</f>
        <v>17479200</v>
      </c>
      <c r="O401" s="129"/>
      <c r="P401" s="129"/>
    </row>
    <row r="402" spans="1:16" s="16" customFormat="1" ht="24" x14ac:dyDescent="0.2">
      <c r="A402" s="1" t="s">
        <v>1385</v>
      </c>
      <c r="B402" s="1" t="s">
        <v>1386</v>
      </c>
      <c r="C402" s="1" t="s">
        <v>1399</v>
      </c>
      <c r="D402" s="142" t="s">
        <v>631</v>
      </c>
      <c r="E402" s="143" t="s">
        <v>632</v>
      </c>
      <c r="F402" s="144" t="s">
        <v>633</v>
      </c>
      <c r="G402" s="143" t="s">
        <v>420</v>
      </c>
      <c r="H402" s="146">
        <v>0.01</v>
      </c>
      <c r="I402" s="146">
        <v>2.1849E-2</v>
      </c>
      <c r="J402" s="129">
        <v>4107143</v>
      </c>
      <c r="K402" s="129">
        <f t="shared" si="19"/>
        <v>89736.967407000004</v>
      </c>
      <c r="L402" s="129"/>
      <c r="M402" s="129"/>
      <c r="N402" s="129">
        <f>+I402*J402</f>
        <v>89736.967407000004</v>
      </c>
      <c r="O402" s="129"/>
      <c r="P402" s="129"/>
    </row>
    <row r="403" spans="1:16" ht="15.75" x14ac:dyDescent="0.25">
      <c r="A403" s="1" t="s">
        <v>1385</v>
      </c>
      <c r="B403" s="1" t="s">
        <v>1386</v>
      </c>
      <c r="C403" s="1"/>
      <c r="D403" s="127" t="s">
        <v>634</v>
      </c>
      <c r="E403" s="128"/>
      <c r="F403" s="128"/>
      <c r="G403" s="128"/>
      <c r="H403" s="128"/>
      <c r="I403" s="128"/>
      <c r="J403" s="129"/>
      <c r="K403" s="129"/>
      <c r="L403" s="129"/>
      <c r="M403" s="129"/>
      <c r="N403" s="129"/>
      <c r="O403" s="129"/>
      <c r="P403" s="129"/>
    </row>
    <row r="404" spans="1:16" s="1" customFormat="1" ht="38.25" x14ac:dyDescent="0.2">
      <c r="A404" s="1" t="s">
        <v>1385</v>
      </c>
      <c r="B404" s="1" t="s">
        <v>1386</v>
      </c>
      <c r="C404" s="1" t="s">
        <v>1397</v>
      </c>
      <c r="D404" s="130" t="s">
        <v>635</v>
      </c>
      <c r="E404" s="131" t="s">
        <v>636</v>
      </c>
      <c r="F404" s="131" t="s">
        <v>637</v>
      </c>
      <c r="G404" s="132" t="s">
        <v>638</v>
      </c>
      <c r="H404" s="133">
        <v>18.6876</v>
      </c>
      <c r="I404" s="133"/>
      <c r="J404" s="129"/>
      <c r="K404" s="129"/>
      <c r="L404" s="129"/>
      <c r="M404" s="129"/>
      <c r="N404" s="129"/>
      <c r="O404" s="129"/>
      <c r="P404" s="129"/>
    </row>
    <row r="405" spans="1:16" s="14" customFormat="1" x14ac:dyDescent="0.2">
      <c r="A405" s="1" t="s">
        <v>1385</v>
      </c>
      <c r="B405" s="1" t="s">
        <v>1386</v>
      </c>
      <c r="C405" s="1" t="s">
        <v>24</v>
      </c>
      <c r="D405" s="134" t="s">
        <v>639</v>
      </c>
      <c r="E405" s="135" t="s">
        <v>18</v>
      </c>
      <c r="F405" s="136" t="s">
        <v>23</v>
      </c>
      <c r="G405" s="135" t="s">
        <v>24</v>
      </c>
      <c r="H405" s="137">
        <v>6.66</v>
      </c>
      <c r="I405" s="137">
        <v>124.4594</v>
      </c>
      <c r="J405" s="129">
        <v>22914.53</v>
      </c>
      <c r="K405" s="129">
        <f t="shared" ref="K405:K415" si="20">+J405*I405</f>
        <v>2851928.655082</v>
      </c>
      <c r="L405" s="129">
        <f>+I405*J405</f>
        <v>2851928.655082</v>
      </c>
      <c r="M405" s="129"/>
      <c r="N405" s="129"/>
      <c r="O405" s="129"/>
      <c r="P405" s="129"/>
    </row>
    <row r="406" spans="1:16" s="15" customFormat="1" x14ac:dyDescent="0.2">
      <c r="A406" s="1" t="s">
        <v>1385</v>
      </c>
      <c r="B406" s="1" t="s">
        <v>1386</v>
      </c>
      <c r="C406" s="1" t="s">
        <v>28</v>
      </c>
      <c r="D406" s="138" t="s">
        <v>640</v>
      </c>
      <c r="E406" s="139" t="s">
        <v>213</v>
      </c>
      <c r="F406" s="140" t="s">
        <v>214</v>
      </c>
      <c r="G406" s="139" t="s">
        <v>28</v>
      </c>
      <c r="H406" s="141">
        <v>1.33</v>
      </c>
      <c r="I406" s="141">
        <v>24.854500000000002</v>
      </c>
      <c r="J406" s="129">
        <v>1399</v>
      </c>
      <c r="K406" s="129">
        <f t="shared" si="20"/>
        <v>34771.445500000002</v>
      </c>
      <c r="L406" s="129"/>
      <c r="M406" s="129">
        <f>+J406*I406</f>
        <v>34771.445500000002</v>
      </c>
      <c r="N406" s="129"/>
      <c r="O406" s="129"/>
      <c r="P406" s="129"/>
    </row>
    <row r="407" spans="1:16" s="15" customFormat="1" x14ac:dyDescent="0.2">
      <c r="A407" s="1" t="s">
        <v>1385</v>
      </c>
      <c r="B407" s="1" t="s">
        <v>1386</v>
      </c>
      <c r="C407" s="1" t="s">
        <v>28</v>
      </c>
      <c r="D407" s="138" t="s">
        <v>641</v>
      </c>
      <c r="E407" s="139" t="s">
        <v>642</v>
      </c>
      <c r="F407" s="140" t="s">
        <v>643</v>
      </c>
      <c r="G407" s="139" t="s">
        <v>28</v>
      </c>
      <c r="H407" s="141">
        <v>2.0099999999999998</v>
      </c>
      <c r="I407" s="141">
        <v>37.562100000000001</v>
      </c>
      <c r="J407" s="129">
        <v>1253</v>
      </c>
      <c r="K407" s="129">
        <f t="shared" si="20"/>
        <v>47065.311300000001</v>
      </c>
      <c r="L407" s="129"/>
      <c r="M407" s="129">
        <f>+J407*I407</f>
        <v>47065.311300000001</v>
      </c>
      <c r="N407" s="129"/>
      <c r="O407" s="129"/>
      <c r="P407" s="129"/>
    </row>
    <row r="408" spans="1:16" s="15" customFormat="1" x14ac:dyDescent="0.2">
      <c r="A408" s="1" t="s">
        <v>1385</v>
      </c>
      <c r="B408" s="1" t="s">
        <v>1386</v>
      </c>
      <c r="C408" s="1" t="s">
        <v>28</v>
      </c>
      <c r="D408" s="138" t="s">
        <v>644</v>
      </c>
      <c r="E408" s="139" t="s">
        <v>30</v>
      </c>
      <c r="F408" s="140" t="s">
        <v>31</v>
      </c>
      <c r="G408" s="139" t="s">
        <v>28</v>
      </c>
      <c r="H408" s="141">
        <v>0.03</v>
      </c>
      <c r="I408" s="141">
        <v>0.56062800000000002</v>
      </c>
      <c r="J408" s="129">
        <v>106655</v>
      </c>
      <c r="K408" s="129">
        <f t="shared" si="20"/>
        <v>59793.779340000001</v>
      </c>
      <c r="L408" s="129"/>
      <c r="M408" s="129">
        <f>+J408*I408</f>
        <v>59793.779340000001</v>
      </c>
      <c r="N408" s="129"/>
      <c r="O408" s="129"/>
      <c r="P408" s="129"/>
    </row>
    <row r="409" spans="1:16" s="16" customFormat="1" x14ac:dyDescent="0.2">
      <c r="A409" s="1" t="s">
        <v>1385</v>
      </c>
      <c r="B409" s="1" t="s">
        <v>1386</v>
      </c>
      <c r="C409" s="1" t="s">
        <v>1399</v>
      </c>
      <c r="D409" s="142" t="s">
        <v>645</v>
      </c>
      <c r="E409" s="143" t="s">
        <v>646</v>
      </c>
      <c r="F409" s="144" t="s">
        <v>647</v>
      </c>
      <c r="G409" s="143" t="s">
        <v>42</v>
      </c>
      <c r="H409" s="145">
        <v>7</v>
      </c>
      <c r="I409" s="146">
        <v>130.81319999999999</v>
      </c>
      <c r="J409" s="129">
        <v>1000</v>
      </c>
      <c r="K409" s="129">
        <f t="shared" si="20"/>
        <v>130813.2</v>
      </c>
      <c r="L409" s="129"/>
      <c r="M409" s="129"/>
      <c r="N409" s="129">
        <f t="shared" ref="N409:N415" si="21">+I409*J409</f>
        <v>130813.2</v>
      </c>
      <c r="O409" s="129"/>
      <c r="P409" s="129"/>
    </row>
    <row r="410" spans="1:16" s="16" customFormat="1" x14ac:dyDescent="0.2">
      <c r="A410" s="1" t="s">
        <v>1385</v>
      </c>
      <c r="B410" s="1" t="s">
        <v>1386</v>
      </c>
      <c r="C410" s="1" t="s">
        <v>1399</v>
      </c>
      <c r="D410" s="142" t="s">
        <v>648</v>
      </c>
      <c r="E410" s="143" t="s">
        <v>649</v>
      </c>
      <c r="F410" s="144" t="s">
        <v>650</v>
      </c>
      <c r="G410" s="143" t="s">
        <v>42</v>
      </c>
      <c r="H410" s="145">
        <v>7</v>
      </c>
      <c r="I410" s="146">
        <v>130.81319999999999</v>
      </c>
      <c r="J410" s="129">
        <v>1000</v>
      </c>
      <c r="K410" s="129">
        <f t="shared" si="20"/>
        <v>130813.2</v>
      </c>
      <c r="L410" s="129"/>
      <c r="M410" s="129"/>
      <c r="N410" s="129">
        <f t="shared" si="21"/>
        <v>130813.2</v>
      </c>
      <c r="O410" s="129"/>
      <c r="P410" s="129"/>
    </row>
    <row r="411" spans="1:16" s="16" customFormat="1" x14ac:dyDescent="0.2">
      <c r="A411" s="1" t="s">
        <v>1385</v>
      </c>
      <c r="B411" s="1" t="s">
        <v>1386</v>
      </c>
      <c r="C411" s="1" t="s">
        <v>1399</v>
      </c>
      <c r="D411" s="142" t="s">
        <v>651</v>
      </c>
      <c r="E411" s="143" t="s">
        <v>652</v>
      </c>
      <c r="F411" s="144" t="s">
        <v>653</v>
      </c>
      <c r="G411" s="143" t="s">
        <v>42</v>
      </c>
      <c r="H411" s="145">
        <v>40</v>
      </c>
      <c r="I411" s="146">
        <v>747.50400000000002</v>
      </c>
      <c r="J411" s="129">
        <v>1000</v>
      </c>
      <c r="K411" s="129">
        <f t="shared" si="20"/>
        <v>747504</v>
      </c>
      <c r="L411" s="129"/>
      <c r="M411" s="129"/>
      <c r="N411" s="129">
        <f t="shared" si="21"/>
        <v>747504</v>
      </c>
      <c r="O411" s="129"/>
      <c r="P411" s="129"/>
    </row>
    <row r="412" spans="1:16" s="16" customFormat="1" x14ac:dyDescent="0.2">
      <c r="A412" s="1" t="s">
        <v>1385</v>
      </c>
      <c r="B412" s="1" t="s">
        <v>1386</v>
      </c>
      <c r="C412" s="1" t="s">
        <v>1399</v>
      </c>
      <c r="D412" s="142" t="s">
        <v>654</v>
      </c>
      <c r="E412" s="143" t="s">
        <v>655</v>
      </c>
      <c r="F412" s="144" t="s">
        <v>656</v>
      </c>
      <c r="G412" s="143" t="s">
        <v>42</v>
      </c>
      <c r="H412" s="145">
        <v>16</v>
      </c>
      <c r="I412" s="146">
        <v>299.0016</v>
      </c>
      <c r="J412" s="129">
        <v>1000</v>
      </c>
      <c r="K412" s="129">
        <f t="shared" si="20"/>
        <v>299001.59999999998</v>
      </c>
      <c r="L412" s="129"/>
      <c r="M412" s="129"/>
      <c r="N412" s="129">
        <f t="shared" si="21"/>
        <v>299001.59999999998</v>
      </c>
      <c r="O412" s="129"/>
      <c r="P412" s="129"/>
    </row>
    <row r="413" spans="1:16" s="16" customFormat="1" x14ac:dyDescent="0.2">
      <c r="A413" s="1" t="s">
        <v>1385</v>
      </c>
      <c r="B413" s="1" t="s">
        <v>1386</v>
      </c>
      <c r="C413" s="1" t="s">
        <v>1399</v>
      </c>
      <c r="D413" s="142" t="s">
        <v>657</v>
      </c>
      <c r="E413" s="143" t="s">
        <v>658</v>
      </c>
      <c r="F413" s="144" t="s">
        <v>659</v>
      </c>
      <c r="G413" s="143" t="s">
        <v>660</v>
      </c>
      <c r="H413" s="146">
        <v>26.3</v>
      </c>
      <c r="I413" s="146">
        <v>491.48390000000001</v>
      </c>
      <c r="J413" s="129">
        <v>2000</v>
      </c>
      <c r="K413" s="129">
        <f t="shared" si="20"/>
        <v>982967.8</v>
      </c>
      <c r="L413" s="129"/>
      <c r="M413" s="129"/>
      <c r="N413" s="129">
        <f t="shared" si="21"/>
        <v>982967.8</v>
      </c>
      <c r="O413" s="129"/>
      <c r="P413" s="129"/>
    </row>
    <row r="414" spans="1:16" s="16" customFormat="1" x14ac:dyDescent="0.2">
      <c r="A414" s="1" t="s">
        <v>1385</v>
      </c>
      <c r="B414" s="1" t="s">
        <v>1386</v>
      </c>
      <c r="C414" s="1" t="s">
        <v>1399</v>
      </c>
      <c r="D414" s="142" t="s">
        <v>661</v>
      </c>
      <c r="E414" s="143" t="s">
        <v>662</v>
      </c>
      <c r="F414" s="144" t="s">
        <v>663</v>
      </c>
      <c r="G414" s="143" t="s">
        <v>42</v>
      </c>
      <c r="H414" s="145">
        <v>263</v>
      </c>
      <c r="I414" s="146">
        <v>4914.8388000000004</v>
      </c>
      <c r="J414" s="129">
        <v>100</v>
      </c>
      <c r="K414" s="129">
        <f t="shared" si="20"/>
        <v>491483.88000000006</v>
      </c>
      <c r="L414" s="129"/>
      <c r="M414" s="129"/>
      <c r="N414" s="129">
        <f t="shared" si="21"/>
        <v>491483.88000000006</v>
      </c>
      <c r="O414" s="129"/>
      <c r="P414" s="129"/>
    </row>
    <row r="415" spans="1:16" s="16" customFormat="1" x14ac:dyDescent="0.2">
      <c r="A415" s="1" t="s">
        <v>1385</v>
      </c>
      <c r="B415" s="1" t="s">
        <v>1386</v>
      </c>
      <c r="C415" s="1" t="s">
        <v>1399</v>
      </c>
      <c r="D415" s="142" t="s">
        <v>664</v>
      </c>
      <c r="E415" s="143" t="s">
        <v>665</v>
      </c>
      <c r="F415" s="144" t="s">
        <v>666</v>
      </c>
      <c r="G415" s="143" t="s">
        <v>69</v>
      </c>
      <c r="H415" s="145">
        <v>101</v>
      </c>
      <c r="I415" s="146">
        <v>1887.4476</v>
      </c>
      <c r="J415" s="129">
        <v>5000</v>
      </c>
      <c r="K415" s="129">
        <f t="shared" si="20"/>
        <v>9437238</v>
      </c>
      <c r="L415" s="129"/>
      <c r="M415" s="129"/>
      <c r="N415" s="129">
        <f t="shared" si="21"/>
        <v>9437238</v>
      </c>
      <c r="O415" s="129"/>
      <c r="P415" s="129"/>
    </row>
    <row r="416" spans="1:16" s="1" customFormat="1" ht="38.25" x14ac:dyDescent="0.2">
      <c r="A416" s="1" t="s">
        <v>1385</v>
      </c>
      <c r="B416" s="1" t="s">
        <v>1386</v>
      </c>
      <c r="C416" s="1" t="s">
        <v>1397</v>
      </c>
      <c r="D416" s="130" t="s">
        <v>667</v>
      </c>
      <c r="E416" s="131" t="s">
        <v>668</v>
      </c>
      <c r="F416" s="131" t="s">
        <v>669</v>
      </c>
      <c r="G416" s="132" t="s">
        <v>38</v>
      </c>
      <c r="H416" s="133">
        <v>15.590999999999999</v>
      </c>
      <c r="I416" s="133"/>
      <c r="J416" s="129"/>
      <c r="K416" s="129"/>
      <c r="L416" s="129"/>
      <c r="M416" s="129"/>
      <c r="N416" s="129"/>
      <c r="O416" s="129"/>
      <c r="P416" s="129"/>
    </row>
    <row r="417" spans="1:16" s="14" customFormat="1" x14ac:dyDescent="0.2">
      <c r="A417" s="1" t="s">
        <v>1385</v>
      </c>
      <c r="B417" s="1" t="s">
        <v>1386</v>
      </c>
      <c r="C417" s="1" t="s">
        <v>24</v>
      </c>
      <c r="D417" s="134" t="s">
        <v>670</v>
      </c>
      <c r="E417" s="135" t="s">
        <v>18</v>
      </c>
      <c r="F417" s="136" t="s">
        <v>23</v>
      </c>
      <c r="G417" s="135" t="s">
        <v>24</v>
      </c>
      <c r="H417" s="137">
        <v>8.5399999999999991</v>
      </c>
      <c r="I417" s="137">
        <v>133.14709999999999</v>
      </c>
      <c r="J417" s="129">
        <v>22914.53</v>
      </c>
      <c r="K417" s="129">
        <f>+J417*I417</f>
        <v>3051003.2173629999</v>
      </c>
      <c r="L417" s="129">
        <f>+I417*J417</f>
        <v>3051003.2173629999</v>
      </c>
      <c r="M417" s="129"/>
      <c r="N417" s="129"/>
      <c r="O417" s="129"/>
      <c r="P417" s="129"/>
    </row>
    <row r="418" spans="1:16" s="15" customFormat="1" x14ac:dyDescent="0.2">
      <c r="A418" s="1" t="s">
        <v>1385</v>
      </c>
      <c r="B418" s="1" t="s">
        <v>1386</v>
      </c>
      <c r="C418" s="1" t="s">
        <v>28</v>
      </c>
      <c r="D418" s="138" t="s">
        <v>671</v>
      </c>
      <c r="E418" s="139" t="s">
        <v>193</v>
      </c>
      <c r="F418" s="140" t="s">
        <v>31</v>
      </c>
      <c r="G418" s="139" t="s">
        <v>28</v>
      </c>
      <c r="H418" s="141">
        <v>0.01</v>
      </c>
      <c r="I418" s="141">
        <v>0.15590999999999999</v>
      </c>
      <c r="J418" s="129">
        <v>106655</v>
      </c>
      <c r="K418" s="129">
        <f>+J418*I418</f>
        <v>16628.581050000001</v>
      </c>
      <c r="L418" s="129"/>
      <c r="M418" s="129">
        <f>+J418*I418</f>
        <v>16628.581050000001</v>
      </c>
      <c r="N418" s="129"/>
      <c r="O418" s="129"/>
      <c r="P418" s="129"/>
    </row>
    <row r="419" spans="1:16" s="16" customFormat="1" x14ac:dyDescent="0.2">
      <c r="A419" s="1" t="s">
        <v>1385</v>
      </c>
      <c r="B419" s="1" t="s">
        <v>1386</v>
      </c>
      <c r="C419" s="1" t="s">
        <v>1399</v>
      </c>
      <c r="D419" s="142" t="s">
        <v>672</v>
      </c>
      <c r="E419" s="143" t="s">
        <v>673</v>
      </c>
      <c r="F419" s="144" t="s">
        <v>674</v>
      </c>
      <c r="G419" s="143" t="s">
        <v>420</v>
      </c>
      <c r="H419" s="146">
        <v>2.5000000000000001E-2</v>
      </c>
      <c r="I419" s="146">
        <v>0.38977499999999998</v>
      </c>
      <c r="J419" s="129">
        <v>332390</v>
      </c>
      <c r="K419" s="129">
        <f>+J419*I419</f>
        <v>129557.31224999999</v>
      </c>
      <c r="L419" s="129"/>
      <c r="M419" s="129"/>
      <c r="N419" s="129">
        <f>+I419*J419</f>
        <v>129557.31224999999</v>
      </c>
      <c r="O419" s="129"/>
      <c r="P419" s="129"/>
    </row>
    <row r="420" spans="1:16" s="16" customFormat="1" x14ac:dyDescent="0.2">
      <c r="A420" s="1" t="s">
        <v>1385</v>
      </c>
      <c r="B420" s="1" t="s">
        <v>1386</v>
      </c>
      <c r="C420" s="1" t="s">
        <v>1399</v>
      </c>
      <c r="D420" s="142" t="s">
        <v>675</v>
      </c>
      <c r="E420" s="143" t="s">
        <v>629</v>
      </c>
      <c r="F420" s="144" t="s">
        <v>630</v>
      </c>
      <c r="G420" s="143" t="s">
        <v>38</v>
      </c>
      <c r="H420" s="145">
        <v>1</v>
      </c>
      <c r="I420" s="146">
        <v>15.590999999999999</v>
      </c>
      <c r="J420" s="129">
        <v>80000</v>
      </c>
      <c r="K420" s="129">
        <f>+J420*I420</f>
        <v>1247280</v>
      </c>
      <c r="L420" s="129"/>
      <c r="M420" s="129"/>
      <c r="N420" s="129">
        <f>+I420*J420</f>
        <v>1247280</v>
      </c>
      <c r="O420" s="129"/>
      <c r="P420" s="129"/>
    </row>
    <row r="421" spans="1:16" ht="15.75" x14ac:dyDescent="0.25">
      <c r="A421" s="1" t="s">
        <v>1385</v>
      </c>
      <c r="B421" s="1" t="s">
        <v>1386</v>
      </c>
      <c r="C421" s="1"/>
      <c r="D421" s="127" t="s">
        <v>676</v>
      </c>
      <c r="E421" s="128"/>
      <c r="F421" s="128"/>
      <c r="G421" s="128"/>
      <c r="H421" s="128"/>
      <c r="I421" s="128"/>
      <c r="J421" s="129"/>
      <c r="K421" s="129"/>
      <c r="L421" s="129"/>
      <c r="M421" s="129"/>
      <c r="N421" s="129"/>
      <c r="O421" s="129"/>
      <c r="P421" s="129"/>
    </row>
    <row r="422" spans="1:16" s="1" customFormat="1" ht="38.25" x14ac:dyDescent="0.2">
      <c r="A422" s="1" t="s">
        <v>1385</v>
      </c>
      <c r="B422" s="1" t="s">
        <v>1386</v>
      </c>
      <c r="C422" s="1" t="s">
        <v>1397</v>
      </c>
      <c r="D422" s="130" t="s">
        <v>677</v>
      </c>
      <c r="E422" s="131" t="s">
        <v>678</v>
      </c>
      <c r="F422" s="131" t="s">
        <v>679</v>
      </c>
      <c r="G422" s="132" t="s">
        <v>680</v>
      </c>
      <c r="H422" s="133">
        <v>0.99897999999999998</v>
      </c>
      <c r="I422" s="133"/>
      <c r="J422" s="129"/>
      <c r="K422" s="129"/>
      <c r="L422" s="129"/>
      <c r="M422" s="129"/>
      <c r="N422" s="129"/>
      <c r="O422" s="129"/>
      <c r="P422" s="129"/>
    </row>
    <row r="423" spans="1:16" s="14" customFormat="1" x14ac:dyDescent="0.2">
      <c r="A423" s="1" t="s">
        <v>1385</v>
      </c>
      <c r="B423" s="1" t="s">
        <v>1386</v>
      </c>
      <c r="C423" s="1" t="s">
        <v>24</v>
      </c>
      <c r="D423" s="134" t="s">
        <v>681</v>
      </c>
      <c r="E423" s="135" t="s">
        <v>18</v>
      </c>
      <c r="F423" s="136" t="s">
        <v>23</v>
      </c>
      <c r="G423" s="135" t="s">
        <v>24</v>
      </c>
      <c r="H423" s="137">
        <v>38.26</v>
      </c>
      <c r="I423" s="137">
        <v>38.220999999999997</v>
      </c>
      <c r="J423" s="129">
        <v>22914.53</v>
      </c>
      <c r="K423" s="129">
        <f t="shared" ref="K423:K430" si="22">+J423*I423</f>
        <v>875816.25112999987</v>
      </c>
      <c r="L423" s="129">
        <f>+I423*J423</f>
        <v>875816.25112999987</v>
      </c>
      <c r="M423" s="129"/>
      <c r="N423" s="129"/>
      <c r="O423" s="129"/>
      <c r="P423" s="129"/>
    </row>
    <row r="424" spans="1:16" s="15" customFormat="1" ht="24" x14ac:dyDescent="0.2">
      <c r="A424" s="1" t="s">
        <v>1385</v>
      </c>
      <c r="B424" s="1" t="s">
        <v>1386</v>
      </c>
      <c r="C424" s="1" t="s">
        <v>28</v>
      </c>
      <c r="D424" s="138" t="s">
        <v>682</v>
      </c>
      <c r="E424" s="139" t="s">
        <v>683</v>
      </c>
      <c r="F424" s="140" t="s">
        <v>684</v>
      </c>
      <c r="G424" s="139" t="s">
        <v>28</v>
      </c>
      <c r="H424" s="141">
        <v>10.97</v>
      </c>
      <c r="I424" s="141">
        <v>10.9588</v>
      </c>
      <c r="J424" s="129">
        <v>16353</v>
      </c>
      <c r="K424" s="129">
        <f t="shared" si="22"/>
        <v>179209.25640000001</v>
      </c>
      <c r="L424" s="129"/>
      <c r="M424" s="129">
        <f>+J424*I424</f>
        <v>179209.25640000001</v>
      </c>
      <c r="N424" s="129"/>
      <c r="O424" s="129"/>
      <c r="P424" s="129"/>
    </row>
    <row r="425" spans="1:16" s="15" customFormat="1" x14ac:dyDescent="0.2">
      <c r="A425" s="1" t="s">
        <v>1385</v>
      </c>
      <c r="B425" s="1" t="s">
        <v>1386</v>
      </c>
      <c r="C425" s="1" t="s">
        <v>28</v>
      </c>
      <c r="D425" s="138" t="s">
        <v>685</v>
      </c>
      <c r="E425" s="139" t="s">
        <v>30</v>
      </c>
      <c r="F425" s="140" t="s">
        <v>31</v>
      </c>
      <c r="G425" s="139" t="s">
        <v>28</v>
      </c>
      <c r="H425" s="141">
        <v>0.44</v>
      </c>
      <c r="I425" s="141">
        <v>0.43955100000000003</v>
      </c>
      <c r="J425" s="129">
        <v>106655</v>
      </c>
      <c r="K425" s="129">
        <f t="shared" si="22"/>
        <v>46880.311905000002</v>
      </c>
      <c r="L425" s="129"/>
      <c r="M425" s="129">
        <f>+J425*I425</f>
        <v>46880.311905000002</v>
      </c>
      <c r="N425" s="129"/>
      <c r="O425" s="129"/>
      <c r="P425" s="129"/>
    </row>
    <row r="426" spans="1:16" s="15" customFormat="1" x14ac:dyDescent="0.2">
      <c r="A426" s="1" t="s">
        <v>1385</v>
      </c>
      <c r="B426" s="1" t="s">
        <v>1386</v>
      </c>
      <c r="C426" s="1" t="s">
        <v>28</v>
      </c>
      <c r="D426" s="138" t="s">
        <v>686</v>
      </c>
      <c r="E426" s="139" t="s">
        <v>687</v>
      </c>
      <c r="F426" s="140" t="s">
        <v>688</v>
      </c>
      <c r="G426" s="139" t="s">
        <v>28</v>
      </c>
      <c r="H426" s="141">
        <v>2.09</v>
      </c>
      <c r="I426" s="141">
        <v>2.0878999999999999</v>
      </c>
      <c r="J426" s="129">
        <v>1586</v>
      </c>
      <c r="K426" s="129">
        <f t="shared" si="22"/>
        <v>3311.4094</v>
      </c>
      <c r="L426" s="129"/>
      <c r="M426" s="129">
        <f>+J426*I426</f>
        <v>3311.4094</v>
      </c>
      <c r="N426" s="129"/>
      <c r="O426" s="129"/>
      <c r="P426" s="129"/>
    </row>
    <row r="427" spans="1:16" s="16" customFormat="1" x14ac:dyDescent="0.2">
      <c r="A427" s="1" t="s">
        <v>1385</v>
      </c>
      <c r="B427" s="1" t="s">
        <v>1386</v>
      </c>
      <c r="C427" s="1" t="s">
        <v>1399</v>
      </c>
      <c r="D427" s="142" t="s">
        <v>689</v>
      </c>
      <c r="E427" s="143" t="s">
        <v>690</v>
      </c>
      <c r="F427" s="144" t="s">
        <v>691</v>
      </c>
      <c r="G427" s="143" t="s">
        <v>420</v>
      </c>
      <c r="H427" s="146">
        <v>1.7</v>
      </c>
      <c r="I427" s="146">
        <v>1.6982999999999999</v>
      </c>
      <c r="J427" s="129">
        <v>4210</v>
      </c>
      <c r="K427" s="129">
        <f t="shared" si="22"/>
        <v>7149.8429999999998</v>
      </c>
      <c r="L427" s="129"/>
      <c r="M427" s="129"/>
      <c r="N427" s="129">
        <f>+I427*J427</f>
        <v>7149.8429999999998</v>
      </c>
      <c r="O427" s="129"/>
      <c r="P427" s="129"/>
    </row>
    <row r="428" spans="1:16" s="16" customFormat="1" x14ac:dyDescent="0.2">
      <c r="A428" s="1" t="s">
        <v>1385</v>
      </c>
      <c r="B428" s="1" t="s">
        <v>1386</v>
      </c>
      <c r="C428" s="1" t="s">
        <v>1399</v>
      </c>
      <c r="D428" s="142" t="s">
        <v>692</v>
      </c>
      <c r="E428" s="143" t="s">
        <v>693</v>
      </c>
      <c r="F428" s="144" t="s">
        <v>694</v>
      </c>
      <c r="G428" s="143" t="s">
        <v>107</v>
      </c>
      <c r="H428" s="146">
        <v>6.0000000000000001E-3</v>
      </c>
      <c r="I428" s="146">
        <v>5.9940000000000002E-3</v>
      </c>
      <c r="J428" s="129">
        <v>11250000</v>
      </c>
      <c r="K428" s="129">
        <f t="shared" si="22"/>
        <v>67432.5</v>
      </c>
      <c r="L428" s="129"/>
      <c r="M428" s="129"/>
      <c r="N428" s="129">
        <f>+I428*J428</f>
        <v>67432.5</v>
      </c>
      <c r="O428" s="129"/>
      <c r="P428" s="129"/>
    </row>
    <row r="429" spans="1:16" s="16" customFormat="1" x14ac:dyDescent="0.2">
      <c r="A429" s="1" t="s">
        <v>1385</v>
      </c>
      <c r="B429" s="1" t="s">
        <v>1386</v>
      </c>
      <c r="C429" s="1" t="s">
        <v>1399</v>
      </c>
      <c r="D429" s="142" t="s">
        <v>695</v>
      </c>
      <c r="E429" s="143" t="s">
        <v>696</v>
      </c>
      <c r="F429" s="144" t="s">
        <v>486</v>
      </c>
      <c r="G429" s="143" t="s">
        <v>250</v>
      </c>
      <c r="H429" s="146">
        <v>0.51</v>
      </c>
      <c r="I429" s="146">
        <v>0.50948000000000004</v>
      </c>
      <c r="J429" s="129">
        <v>2500</v>
      </c>
      <c r="K429" s="129">
        <f t="shared" si="22"/>
        <v>1273.7</v>
      </c>
      <c r="L429" s="129"/>
      <c r="M429" s="129"/>
      <c r="N429" s="129">
        <f>+I429*J429</f>
        <v>1273.7</v>
      </c>
      <c r="O429" s="129"/>
      <c r="P429" s="129"/>
    </row>
    <row r="430" spans="1:16" s="16" customFormat="1" x14ac:dyDescent="0.2">
      <c r="A430" s="1" t="s">
        <v>1385</v>
      </c>
      <c r="B430" s="1" t="s">
        <v>1386</v>
      </c>
      <c r="C430" s="1" t="s">
        <v>1399</v>
      </c>
      <c r="D430" s="142" t="s">
        <v>697</v>
      </c>
      <c r="E430" s="143" t="s">
        <v>698</v>
      </c>
      <c r="F430" s="144" t="s">
        <v>699</v>
      </c>
      <c r="G430" s="143" t="s">
        <v>107</v>
      </c>
      <c r="H430" s="145">
        <v>1</v>
      </c>
      <c r="I430" s="146">
        <v>0.99897999999999998</v>
      </c>
      <c r="J430" s="129">
        <v>9000000</v>
      </c>
      <c r="K430" s="129">
        <f t="shared" si="22"/>
        <v>8990820</v>
      </c>
      <c r="L430" s="129"/>
      <c r="M430" s="129"/>
      <c r="N430" s="129">
        <f>+I430*J430</f>
        <v>8990820</v>
      </c>
      <c r="O430" s="129"/>
      <c r="P430" s="129"/>
    </row>
    <row r="431" spans="1:16" s="1" customFormat="1" ht="38.25" x14ac:dyDescent="0.2">
      <c r="A431" s="1" t="s">
        <v>1385</v>
      </c>
      <c r="B431" s="1" t="s">
        <v>1386</v>
      </c>
      <c r="C431" s="1" t="s">
        <v>1397</v>
      </c>
      <c r="D431" s="130" t="s">
        <v>700</v>
      </c>
      <c r="E431" s="131" t="s">
        <v>701</v>
      </c>
      <c r="F431" s="131" t="s">
        <v>702</v>
      </c>
      <c r="G431" s="132" t="s">
        <v>21</v>
      </c>
      <c r="H431" s="133">
        <v>0.2697</v>
      </c>
      <c r="I431" s="133"/>
      <c r="J431" s="129"/>
      <c r="K431" s="129"/>
      <c r="L431" s="129"/>
      <c r="M431" s="129"/>
      <c r="N431" s="129"/>
      <c r="O431" s="129"/>
      <c r="P431" s="129"/>
    </row>
    <row r="432" spans="1:16" s="14" customFormat="1" x14ac:dyDescent="0.2">
      <c r="A432" s="1" t="s">
        <v>1385</v>
      </c>
      <c r="B432" s="1" t="s">
        <v>1386</v>
      </c>
      <c r="C432" s="1" t="s">
        <v>24</v>
      </c>
      <c r="D432" s="134" t="s">
        <v>703</v>
      </c>
      <c r="E432" s="135" t="s">
        <v>18</v>
      </c>
      <c r="F432" s="136" t="s">
        <v>23</v>
      </c>
      <c r="G432" s="135" t="s">
        <v>24</v>
      </c>
      <c r="H432" s="137">
        <v>71.06</v>
      </c>
      <c r="I432" s="137">
        <v>19.164899999999999</v>
      </c>
      <c r="J432" s="129">
        <v>22914.53</v>
      </c>
      <c r="K432" s="129">
        <f>+J432*I432</f>
        <v>439154.67599699995</v>
      </c>
      <c r="L432" s="129">
        <f>+I432*J432</f>
        <v>439154.67599699995</v>
      </c>
      <c r="M432" s="129"/>
      <c r="N432" s="129"/>
      <c r="O432" s="129"/>
      <c r="P432" s="129"/>
    </row>
    <row r="433" spans="1:16" s="15" customFormat="1" x14ac:dyDescent="0.2">
      <c r="A433" s="1" t="s">
        <v>1385</v>
      </c>
      <c r="B433" s="1" t="s">
        <v>1386</v>
      </c>
      <c r="C433" s="1" t="s">
        <v>28</v>
      </c>
      <c r="D433" s="138" t="s">
        <v>704</v>
      </c>
      <c r="E433" s="139" t="s">
        <v>193</v>
      </c>
      <c r="F433" s="140" t="s">
        <v>31</v>
      </c>
      <c r="G433" s="139" t="s">
        <v>28</v>
      </c>
      <c r="H433" s="141">
        <v>0.03</v>
      </c>
      <c r="I433" s="141">
        <v>8.0909999999999992E-3</v>
      </c>
      <c r="J433" s="129">
        <v>106655</v>
      </c>
      <c r="K433" s="129">
        <f>+J433*I433</f>
        <v>862.94560499999989</v>
      </c>
      <c r="L433" s="129"/>
      <c r="M433" s="129">
        <f>+J433*I433</f>
        <v>862.94560499999989</v>
      </c>
      <c r="N433" s="129"/>
      <c r="O433" s="129"/>
      <c r="P433" s="129"/>
    </row>
    <row r="434" spans="1:16" s="16" customFormat="1" x14ac:dyDescent="0.2">
      <c r="A434" s="1" t="s">
        <v>1385</v>
      </c>
      <c r="B434" s="1" t="s">
        <v>1386</v>
      </c>
      <c r="C434" s="1" t="s">
        <v>1399</v>
      </c>
      <c r="D434" s="142" t="s">
        <v>705</v>
      </c>
      <c r="E434" s="143" t="s">
        <v>706</v>
      </c>
      <c r="F434" s="144" t="s">
        <v>707</v>
      </c>
      <c r="G434" s="143" t="s">
        <v>107</v>
      </c>
      <c r="H434" s="146">
        <v>2.46E-2</v>
      </c>
      <c r="I434" s="146">
        <v>6.6350000000000003E-3</v>
      </c>
      <c r="J434" s="129">
        <v>27312000</v>
      </c>
      <c r="K434" s="129">
        <f>+J434*I434</f>
        <v>181215.12</v>
      </c>
      <c r="L434" s="129"/>
      <c r="M434" s="129"/>
      <c r="N434" s="129">
        <f>+I434*J434</f>
        <v>181215.12</v>
      </c>
      <c r="O434" s="129"/>
      <c r="P434" s="129"/>
    </row>
    <row r="435" spans="1:16" ht="15.75" x14ac:dyDescent="0.25">
      <c r="A435" s="1" t="s">
        <v>1385</v>
      </c>
      <c r="B435" s="1" t="s">
        <v>1386</v>
      </c>
      <c r="C435" s="1"/>
      <c r="D435" s="127" t="s">
        <v>708</v>
      </c>
      <c r="E435" s="128"/>
      <c r="F435" s="128"/>
      <c r="G435" s="128"/>
      <c r="H435" s="128"/>
      <c r="I435" s="128"/>
      <c r="J435" s="129"/>
      <c r="K435" s="129"/>
      <c r="L435" s="129"/>
      <c r="M435" s="129"/>
      <c r="N435" s="129"/>
      <c r="O435" s="129"/>
      <c r="P435" s="129"/>
    </row>
    <row r="436" spans="1:16" s="1" customFormat="1" x14ac:dyDescent="0.2">
      <c r="A436" s="1" t="s">
        <v>1385</v>
      </c>
      <c r="B436" s="1" t="s">
        <v>1386</v>
      </c>
      <c r="C436" s="1" t="s">
        <v>1397</v>
      </c>
      <c r="D436" s="130" t="s">
        <v>709</v>
      </c>
      <c r="E436" s="131" t="s">
        <v>710</v>
      </c>
      <c r="F436" s="131" t="s">
        <v>711</v>
      </c>
      <c r="G436" s="132" t="s">
        <v>1384</v>
      </c>
      <c r="H436" s="148">
        <v>20</v>
      </c>
      <c r="I436" s="148"/>
      <c r="J436" s="129"/>
      <c r="K436" s="129"/>
      <c r="L436" s="129"/>
      <c r="M436" s="129"/>
      <c r="N436" s="129"/>
      <c r="O436" s="129"/>
      <c r="P436" s="129"/>
    </row>
    <row r="437" spans="1:16" s="14" customFormat="1" x14ac:dyDescent="0.2">
      <c r="A437" s="1" t="s">
        <v>1385</v>
      </c>
      <c r="B437" s="1" t="s">
        <v>1386</v>
      </c>
      <c r="C437" s="1" t="s">
        <v>24</v>
      </c>
      <c r="D437" s="134" t="s">
        <v>712</v>
      </c>
      <c r="E437" s="135" t="s">
        <v>18</v>
      </c>
      <c r="F437" s="136" t="s">
        <v>23</v>
      </c>
      <c r="G437" s="135" t="s">
        <v>24</v>
      </c>
      <c r="H437" s="137">
        <v>7.6</v>
      </c>
      <c r="I437" s="147">
        <v>152</v>
      </c>
      <c r="J437" s="129">
        <v>22914.53</v>
      </c>
      <c r="K437" s="129">
        <f>+J437*I437</f>
        <v>3483008.5599999996</v>
      </c>
      <c r="L437" s="129">
        <f>+I437*J437</f>
        <v>3483008.5599999996</v>
      </c>
      <c r="M437" s="129"/>
      <c r="N437" s="129"/>
      <c r="O437" s="129"/>
      <c r="P437" s="129"/>
    </row>
    <row r="438" spans="1:16" s="15" customFormat="1" x14ac:dyDescent="0.2">
      <c r="A438" s="1" t="s">
        <v>1385</v>
      </c>
      <c r="B438" s="1" t="s">
        <v>1386</v>
      </c>
      <c r="C438" s="1" t="s">
        <v>28</v>
      </c>
      <c r="D438" s="138" t="s">
        <v>713</v>
      </c>
      <c r="E438" s="139" t="s">
        <v>30</v>
      </c>
      <c r="F438" s="140" t="s">
        <v>31</v>
      </c>
      <c r="G438" s="139" t="s">
        <v>28</v>
      </c>
      <c r="H438" s="141">
        <v>0.01</v>
      </c>
      <c r="I438" s="141">
        <v>0.2</v>
      </c>
      <c r="J438" s="129">
        <v>106655</v>
      </c>
      <c r="K438" s="129">
        <f>+J438*I438</f>
        <v>21331</v>
      </c>
      <c r="L438" s="129"/>
      <c r="M438" s="129">
        <f>+J438*I438</f>
        <v>21331</v>
      </c>
      <c r="N438" s="129"/>
      <c r="O438" s="129"/>
      <c r="P438" s="129"/>
    </row>
    <row r="439" spans="1:16" s="1" customFormat="1" x14ac:dyDescent="0.2">
      <c r="A439" s="1" t="s">
        <v>1385</v>
      </c>
      <c r="B439" s="1" t="s">
        <v>1386</v>
      </c>
      <c r="C439" s="1" t="s">
        <v>1399</v>
      </c>
      <c r="D439" s="130" t="s">
        <v>714</v>
      </c>
      <c r="E439" s="131" t="s">
        <v>715</v>
      </c>
      <c r="F439" s="131" t="s">
        <v>716</v>
      </c>
      <c r="G439" s="132" t="s">
        <v>420</v>
      </c>
      <c r="H439" s="148">
        <v>10</v>
      </c>
      <c r="I439" s="133">
        <f t="shared" ref="I439:I440" si="23">+H439</f>
        <v>10</v>
      </c>
      <c r="J439" s="129">
        <v>432990</v>
      </c>
      <c r="K439" s="129">
        <f t="shared" ref="K439:K440" si="24">+J439*I439</f>
        <v>4329900</v>
      </c>
      <c r="L439" s="129"/>
      <c r="M439" s="129"/>
      <c r="N439" s="129">
        <f t="shared" ref="N439:N440" si="25">+J439*I439</f>
        <v>4329900</v>
      </c>
      <c r="O439" s="129"/>
      <c r="P439" s="129"/>
    </row>
    <row r="440" spans="1:16" s="1" customFormat="1" x14ac:dyDescent="0.2">
      <c r="A440" s="1" t="s">
        <v>1385</v>
      </c>
      <c r="B440" s="1" t="s">
        <v>1386</v>
      </c>
      <c r="C440" s="1" t="s">
        <v>1399</v>
      </c>
      <c r="D440" s="130" t="s">
        <v>717</v>
      </c>
      <c r="E440" s="131" t="s">
        <v>715</v>
      </c>
      <c r="F440" s="131" t="s">
        <v>718</v>
      </c>
      <c r="G440" s="132" t="s">
        <v>42</v>
      </c>
      <c r="H440" s="148">
        <v>9600</v>
      </c>
      <c r="I440" s="133">
        <f t="shared" si="23"/>
        <v>9600</v>
      </c>
      <c r="J440" s="129">
        <v>150</v>
      </c>
      <c r="K440" s="129">
        <f t="shared" si="24"/>
        <v>1440000</v>
      </c>
      <c r="L440" s="129"/>
      <c r="M440" s="129"/>
      <c r="N440" s="129">
        <f t="shared" si="25"/>
        <v>1440000</v>
      </c>
      <c r="O440" s="129"/>
      <c r="P440" s="129"/>
    </row>
    <row r="441" spans="1:16" s="1" customFormat="1" ht="25.5" x14ac:dyDescent="0.2">
      <c r="A441" s="1" t="s">
        <v>1385</v>
      </c>
      <c r="B441" s="1" t="s">
        <v>1386</v>
      </c>
      <c r="C441" s="1" t="s">
        <v>1397</v>
      </c>
      <c r="D441" s="130" t="s">
        <v>719</v>
      </c>
      <c r="E441" s="131" t="s">
        <v>720</v>
      </c>
      <c r="F441" s="131" t="s">
        <v>721</v>
      </c>
      <c r="G441" s="132" t="s">
        <v>21</v>
      </c>
      <c r="H441" s="133">
        <v>19.2</v>
      </c>
      <c r="I441" s="133"/>
      <c r="J441" s="129"/>
      <c r="K441" s="129"/>
      <c r="L441" s="129"/>
      <c r="M441" s="129"/>
      <c r="N441" s="129"/>
      <c r="O441" s="129"/>
      <c r="P441" s="129"/>
    </row>
    <row r="442" spans="1:16" s="14" customFormat="1" x14ac:dyDescent="0.2">
      <c r="A442" s="1" t="s">
        <v>1385</v>
      </c>
      <c r="B442" s="1" t="s">
        <v>1386</v>
      </c>
      <c r="C442" s="1" t="s">
        <v>24</v>
      </c>
      <c r="D442" s="134" t="s">
        <v>722</v>
      </c>
      <c r="E442" s="135" t="s">
        <v>18</v>
      </c>
      <c r="F442" s="136" t="s">
        <v>23</v>
      </c>
      <c r="G442" s="135" t="s">
        <v>24</v>
      </c>
      <c r="H442" s="137">
        <v>322.41000000000003</v>
      </c>
      <c r="I442" s="137">
        <v>6190.2719999999999</v>
      </c>
      <c r="J442" s="129">
        <v>22914.53</v>
      </c>
      <c r="K442" s="129">
        <f t="shared" ref="K442:K463" si="26">+J442*I442</f>
        <v>141847173.45216</v>
      </c>
      <c r="L442" s="129">
        <f>+I442*J442</f>
        <v>141847173.45216</v>
      </c>
      <c r="M442" s="129"/>
      <c r="N442" s="129"/>
      <c r="O442" s="129"/>
      <c r="P442" s="129"/>
    </row>
    <row r="443" spans="1:16" s="15" customFormat="1" x14ac:dyDescent="0.2">
      <c r="A443" s="1" t="s">
        <v>1385</v>
      </c>
      <c r="B443" s="1" t="s">
        <v>1386</v>
      </c>
      <c r="C443" s="1" t="s">
        <v>28</v>
      </c>
      <c r="D443" s="138" t="s">
        <v>723</v>
      </c>
      <c r="E443" s="139" t="s">
        <v>213</v>
      </c>
      <c r="F443" s="140" t="s">
        <v>214</v>
      </c>
      <c r="G443" s="139" t="s">
        <v>28</v>
      </c>
      <c r="H443" s="141">
        <v>0.08</v>
      </c>
      <c r="I443" s="141">
        <v>1.536</v>
      </c>
      <c r="J443" s="129">
        <v>1399</v>
      </c>
      <c r="K443" s="129">
        <f t="shared" si="26"/>
        <v>2148.864</v>
      </c>
      <c r="L443" s="129"/>
      <c r="M443" s="129">
        <f t="shared" ref="M443:M449" si="27">+J443*I443</f>
        <v>2148.864</v>
      </c>
      <c r="N443" s="129"/>
      <c r="O443" s="129"/>
      <c r="P443" s="129"/>
    </row>
    <row r="444" spans="1:16" s="15" customFormat="1" x14ac:dyDescent="0.2">
      <c r="A444" s="1" t="s">
        <v>1385</v>
      </c>
      <c r="B444" s="1" t="s">
        <v>1386</v>
      </c>
      <c r="C444" s="1" t="s">
        <v>28</v>
      </c>
      <c r="D444" s="138" t="s">
        <v>724</v>
      </c>
      <c r="E444" s="139" t="s">
        <v>725</v>
      </c>
      <c r="F444" s="140" t="s">
        <v>726</v>
      </c>
      <c r="G444" s="139" t="s">
        <v>28</v>
      </c>
      <c r="H444" s="141">
        <v>4.1399999999999997</v>
      </c>
      <c r="I444" s="141">
        <v>79.488</v>
      </c>
      <c r="J444" s="129">
        <v>30613</v>
      </c>
      <c r="K444" s="129">
        <f t="shared" si="26"/>
        <v>2433366.1439999999</v>
      </c>
      <c r="L444" s="129"/>
      <c r="M444" s="129">
        <f t="shared" si="27"/>
        <v>2433366.1439999999</v>
      </c>
      <c r="N444" s="129"/>
      <c r="O444" s="129"/>
      <c r="P444" s="129"/>
    </row>
    <row r="445" spans="1:16" s="15" customFormat="1" x14ac:dyDescent="0.2">
      <c r="A445" s="1" t="s">
        <v>1385</v>
      </c>
      <c r="B445" s="1" t="s">
        <v>1386</v>
      </c>
      <c r="C445" s="1" t="s">
        <v>28</v>
      </c>
      <c r="D445" s="138" t="s">
        <v>727</v>
      </c>
      <c r="E445" s="139" t="s">
        <v>728</v>
      </c>
      <c r="F445" s="140" t="s">
        <v>729</v>
      </c>
      <c r="G445" s="139" t="s">
        <v>28</v>
      </c>
      <c r="H445" s="141">
        <v>0.2</v>
      </c>
      <c r="I445" s="141">
        <v>3.84</v>
      </c>
      <c r="J445" s="129">
        <v>1227</v>
      </c>
      <c r="K445" s="129">
        <f t="shared" si="26"/>
        <v>4711.6799999999994</v>
      </c>
      <c r="L445" s="129"/>
      <c r="M445" s="129">
        <f t="shared" si="27"/>
        <v>4711.6799999999994</v>
      </c>
      <c r="N445" s="129"/>
      <c r="O445" s="129"/>
      <c r="P445" s="129"/>
    </row>
    <row r="446" spans="1:16" s="15" customFormat="1" x14ac:dyDescent="0.2">
      <c r="A446" s="1" t="s">
        <v>1385</v>
      </c>
      <c r="B446" s="1" t="s">
        <v>1386</v>
      </c>
      <c r="C446" s="1" t="s">
        <v>28</v>
      </c>
      <c r="D446" s="138" t="s">
        <v>730</v>
      </c>
      <c r="E446" s="139" t="s">
        <v>731</v>
      </c>
      <c r="F446" s="140" t="s">
        <v>732</v>
      </c>
      <c r="G446" s="139" t="s">
        <v>28</v>
      </c>
      <c r="H446" s="141">
        <v>0.23</v>
      </c>
      <c r="I446" s="141">
        <v>4.4160000000000004</v>
      </c>
      <c r="J446" s="129">
        <v>1954</v>
      </c>
      <c r="K446" s="129">
        <f t="shared" si="26"/>
        <v>8628.8640000000014</v>
      </c>
      <c r="L446" s="129"/>
      <c r="M446" s="129">
        <f t="shared" si="27"/>
        <v>8628.8640000000014</v>
      </c>
      <c r="N446" s="129"/>
      <c r="O446" s="129"/>
      <c r="P446" s="129"/>
    </row>
    <row r="447" spans="1:16" s="15" customFormat="1" x14ac:dyDescent="0.2">
      <c r="A447" s="1" t="s">
        <v>1385</v>
      </c>
      <c r="B447" s="1" t="s">
        <v>1386</v>
      </c>
      <c r="C447" s="1" t="s">
        <v>28</v>
      </c>
      <c r="D447" s="138" t="s">
        <v>733</v>
      </c>
      <c r="E447" s="139" t="s">
        <v>734</v>
      </c>
      <c r="F447" s="140" t="s">
        <v>735</v>
      </c>
      <c r="G447" s="139" t="s">
        <v>28</v>
      </c>
      <c r="H447" s="141">
        <v>7.69</v>
      </c>
      <c r="I447" s="141">
        <v>147.648</v>
      </c>
      <c r="J447" s="129">
        <v>70000</v>
      </c>
      <c r="K447" s="129">
        <f t="shared" si="26"/>
        <v>10335360</v>
      </c>
      <c r="L447" s="129"/>
      <c r="M447" s="129">
        <f t="shared" si="27"/>
        <v>10335360</v>
      </c>
      <c r="N447" s="129"/>
      <c r="O447" s="129"/>
      <c r="P447" s="129"/>
    </row>
    <row r="448" spans="1:16" s="15" customFormat="1" x14ac:dyDescent="0.2">
      <c r="A448" s="1" t="s">
        <v>1385</v>
      </c>
      <c r="B448" s="1" t="s">
        <v>1386</v>
      </c>
      <c r="C448" s="1" t="s">
        <v>28</v>
      </c>
      <c r="D448" s="138" t="s">
        <v>736</v>
      </c>
      <c r="E448" s="139" t="s">
        <v>737</v>
      </c>
      <c r="F448" s="140" t="s">
        <v>738</v>
      </c>
      <c r="G448" s="139" t="s">
        <v>28</v>
      </c>
      <c r="H448" s="141">
        <v>0.77</v>
      </c>
      <c r="I448" s="141">
        <v>14.784000000000001</v>
      </c>
      <c r="J448" s="129">
        <v>145261</v>
      </c>
      <c r="K448" s="129">
        <f t="shared" si="26"/>
        <v>2147538.6240000003</v>
      </c>
      <c r="L448" s="129"/>
      <c r="M448" s="129">
        <f t="shared" si="27"/>
        <v>2147538.6240000003</v>
      </c>
      <c r="N448" s="129"/>
      <c r="O448" s="129"/>
      <c r="P448" s="129"/>
    </row>
    <row r="449" spans="1:16" s="15" customFormat="1" x14ac:dyDescent="0.2">
      <c r="A449" s="1" t="s">
        <v>1385</v>
      </c>
      <c r="B449" s="1" t="s">
        <v>1386</v>
      </c>
      <c r="C449" s="1" t="s">
        <v>28</v>
      </c>
      <c r="D449" s="138" t="s">
        <v>739</v>
      </c>
      <c r="E449" s="139" t="s">
        <v>102</v>
      </c>
      <c r="F449" s="140" t="s">
        <v>103</v>
      </c>
      <c r="G449" s="139" t="s">
        <v>28</v>
      </c>
      <c r="H449" s="141">
        <v>21.24</v>
      </c>
      <c r="I449" s="141">
        <v>407.80799999999999</v>
      </c>
      <c r="J449" s="129">
        <v>1399</v>
      </c>
      <c r="K449" s="129">
        <f t="shared" si="26"/>
        <v>570523.39199999999</v>
      </c>
      <c r="L449" s="129"/>
      <c r="M449" s="129">
        <f t="shared" si="27"/>
        <v>570523.39199999999</v>
      </c>
      <c r="N449" s="129"/>
      <c r="O449" s="129"/>
      <c r="P449" s="129"/>
    </row>
    <row r="450" spans="1:16" s="16" customFormat="1" ht="24" x14ac:dyDescent="0.2">
      <c r="A450" s="1" t="s">
        <v>1385</v>
      </c>
      <c r="B450" s="1" t="s">
        <v>1386</v>
      </c>
      <c r="C450" s="1" t="s">
        <v>1399</v>
      </c>
      <c r="D450" s="142" t="s">
        <v>740</v>
      </c>
      <c r="E450" s="143" t="s">
        <v>741</v>
      </c>
      <c r="F450" s="144" t="s">
        <v>742</v>
      </c>
      <c r="G450" s="143" t="s">
        <v>42</v>
      </c>
      <c r="H450" s="146">
        <v>1.96</v>
      </c>
      <c r="I450" s="146">
        <v>37.631999999999998</v>
      </c>
      <c r="J450" s="129">
        <v>55000</v>
      </c>
      <c r="K450" s="129">
        <f t="shared" si="26"/>
        <v>2069760</v>
      </c>
      <c r="L450" s="129"/>
      <c r="M450" s="129"/>
      <c r="N450" s="129">
        <f t="shared" ref="N450:N463" si="28">+I450*J450</f>
        <v>2069760</v>
      </c>
      <c r="O450" s="129"/>
      <c r="P450" s="129"/>
    </row>
    <row r="451" spans="1:16" s="16" customFormat="1" x14ac:dyDescent="0.2">
      <c r="A451" s="1" t="s">
        <v>1385</v>
      </c>
      <c r="B451" s="1" t="s">
        <v>1386</v>
      </c>
      <c r="C451" s="1" t="s">
        <v>1399</v>
      </c>
      <c r="D451" s="142" t="s">
        <v>743</v>
      </c>
      <c r="E451" s="143" t="s">
        <v>744</v>
      </c>
      <c r="F451" s="144" t="s">
        <v>745</v>
      </c>
      <c r="G451" s="143" t="s">
        <v>250</v>
      </c>
      <c r="H451" s="146">
        <v>6.0000000000000001E-3</v>
      </c>
      <c r="I451" s="146">
        <v>0.1152</v>
      </c>
      <c r="J451" s="129">
        <v>9500</v>
      </c>
      <c r="K451" s="129">
        <f t="shared" si="26"/>
        <v>1094.3999999999999</v>
      </c>
      <c r="L451" s="129"/>
      <c r="M451" s="129"/>
      <c r="N451" s="129">
        <f t="shared" si="28"/>
        <v>1094.3999999999999</v>
      </c>
      <c r="O451" s="129"/>
      <c r="P451" s="129"/>
    </row>
    <row r="452" spans="1:16" s="16" customFormat="1" x14ac:dyDescent="0.2">
      <c r="A452" s="1" t="s">
        <v>1385</v>
      </c>
      <c r="B452" s="1" t="s">
        <v>1386</v>
      </c>
      <c r="C452" s="1" t="s">
        <v>1399</v>
      </c>
      <c r="D452" s="142" t="s">
        <v>746</v>
      </c>
      <c r="E452" s="143" t="s">
        <v>747</v>
      </c>
      <c r="F452" s="144" t="s">
        <v>748</v>
      </c>
      <c r="G452" s="143" t="s">
        <v>250</v>
      </c>
      <c r="H452" s="146">
        <v>12.71</v>
      </c>
      <c r="I452" s="146">
        <v>244.03200000000001</v>
      </c>
      <c r="J452" s="129">
        <v>12000</v>
      </c>
      <c r="K452" s="129">
        <f t="shared" si="26"/>
        <v>2928384</v>
      </c>
      <c r="L452" s="129"/>
      <c r="M452" s="129"/>
      <c r="N452" s="129">
        <f t="shared" si="28"/>
        <v>2928384</v>
      </c>
      <c r="O452" s="129"/>
      <c r="P452" s="129"/>
    </row>
    <row r="453" spans="1:16" s="16" customFormat="1" x14ac:dyDescent="0.2">
      <c r="A453" s="1" t="s">
        <v>1385</v>
      </c>
      <c r="B453" s="1" t="s">
        <v>1386</v>
      </c>
      <c r="C453" s="1" t="s">
        <v>1399</v>
      </c>
      <c r="D453" s="142" t="s">
        <v>749</v>
      </c>
      <c r="E453" s="143" t="s">
        <v>750</v>
      </c>
      <c r="F453" s="144" t="s">
        <v>751</v>
      </c>
      <c r="G453" s="143" t="s">
        <v>250</v>
      </c>
      <c r="H453" s="146">
        <v>25.42</v>
      </c>
      <c r="I453" s="146">
        <v>488.06400000000002</v>
      </c>
      <c r="J453" s="129">
        <v>12000</v>
      </c>
      <c r="K453" s="129">
        <f t="shared" si="26"/>
        <v>5856768</v>
      </c>
      <c r="L453" s="129"/>
      <c r="M453" s="129"/>
      <c r="N453" s="129">
        <f t="shared" si="28"/>
        <v>5856768</v>
      </c>
      <c r="O453" s="129"/>
      <c r="P453" s="129"/>
    </row>
    <row r="454" spans="1:16" s="16" customFormat="1" x14ac:dyDescent="0.2">
      <c r="A454" s="1" t="s">
        <v>1385</v>
      </c>
      <c r="B454" s="1" t="s">
        <v>1386</v>
      </c>
      <c r="C454" s="1" t="s">
        <v>1399</v>
      </c>
      <c r="D454" s="142" t="s">
        <v>752</v>
      </c>
      <c r="E454" s="143" t="s">
        <v>753</v>
      </c>
      <c r="F454" s="144" t="s">
        <v>754</v>
      </c>
      <c r="G454" s="143" t="s">
        <v>69</v>
      </c>
      <c r="H454" s="145">
        <v>45</v>
      </c>
      <c r="I454" s="145">
        <v>864</v>
      </c>
      <c r="J454" s="129">
        <v>500</v>
      </c>
      <c r="K454" s="129">
        <f t="shared" si="26"/>
        <v>432000</v>
      </c>
      <c r="L454" s="129"/>
      <c r="M454" s="129"/>
      <c r="N454" s="129">
        <f t="shared" si="28"/>
        <v>432000</v>
      </c>
      <c r="O454" s="129"/>
      <c r="P454" s="129"/>
    </row>
    <row r="455" spans="1:16" s="16" customFormat="1" x14ac:dyDescent="0.2">
      <c r="A455" s="1" t="s">
        <v>1385</v>
      </c>
      <c r="B455" s="1" t="s">
        <v>1386</v>
      </c>
      <c r="C455" s="1" t="s">
        <v>1399</v>
      </c>
      <c r="D455" s="142" t="s">
        <v>755</v>
      </c>
      <c r="E455" s="143" t="s">
        <v>756</v>
      </c>
      <c r="F455" s="144" t="s">
        <v>757</v>
      </c>
      <c r="G455" s="143" t="s">
        <v>38</v>
      </c>
      <c r="H455" s="146">
        <v>134.75</v>
      </c>
      <c r="I455" s="146">
        <v>2587.1999999999998</v>
      </c>
      <c r="J455" s="129">
        <v>4018</v>
      </c>
      <c r="K455" s="129">
        <f t="shared" si="26"/>
        <v>10395369.6</v>
      </c>
      <c r="L455" s="129"/>
      <c r="M455" s="129"/>
      <c r="N455" s="129">
        <f t="shared" si="28"/>
        <v>10395369.6</v>
      </c>
      <c r="O455" s="129"/>
      <c r="P455" s="129"/>
    </row>
    <row r="456" spans="1:16" s="16" customFormat="1" x14ac:dyDescent="0.2">
      <c r="A456" s="1" t="s">
        <v>1385</v>
      </c>
      <c r="B456" s="1" t="s">
        <v>1386</v>
      </c>
      <c r="C456" s="1" t="s">
        <v>1399</v>
      </c>
      <c r="D456" s="142" t="s">
        <v>758</v>
      </c>
      <c r="E456" s="143" t="s">
        <v>759</v>
      </c>
      <c r="F456" s="144" t="s">
        <v>760</v>
      </c>
      <c r="G456" s="143" t="s">
        <v>761</v>
      </c>
      <c r="H456" s="145">
        <v>120</v>
      </c>
      <c r="I456" s="145">
        <v>2304</v>
      </c>
      <c r="J456" s="129">
        <v>2000</v>
      </c>
      <c r="K456" s="129">
        <f t="shared" si="26"/>
        <v>4608000</v>
      </c>
      <c r="L456" s="129"/>
      <c r="M456" s="129"/>
      <c r="N456" s="129">
        <f t="shared" si="28"/>
        <v>4608000</v>
      </c>
      <c r="O456" s="129"/>
      <c r="P456" s="129"/>
    </row>
    <row r="457" spans="1:16" s="16" customFormat="1" x14ac:dyDescent="0.2">
      <c r="A457" s="1" t="s">
        <v>1385</v>
      </c>
      <c r="B457" s="1" t="s">
        <v>1386</v>
      </c>
      <c r="C457" s="1" t="s">
        <v>1399</v>
      </c>
      <c r="D457" s="142" t="s">
        <v>762</v>
      </c>
      <c r="E457" s="143" t="s">
        <v>763</v>
      </c>
      <c r="F457" s="144" t="s">
        <v>764</v>
      </c>
      <c r="G457" s="143" t="s">
        <v>42</v>
      </c>
      <c r="H457" s="146">
        <v>0.36</v>
      </c>
      <c r="I457" s="146">
        <v>6.9119999999999999</v>
      </c>
      <c r="J457" s="129">
        <v>5000</v>
      </c>
      <c r="K457" s="129">
        <f t="shared" si="26"/>
        <v>34560</v>
      </c>
      <c r="L457" s="129"/>
      <c r="M457" s="129"/>
      <c r="N457" s="129">
        <f t="shared" si="28"/>
        <v>34560</v>
      </c>
      <c r="O457" s="129"/>
      <c r="P457" s="129"/>
    </row>
    <row r="458" spans="1:16" s="16" customFormat="1" x14ac:dyDescent="0.2">
      <c r="A458" s="1" t="s">
        <v>1385</v>
      </c>
      <c r="B458" s="1" t="s">
        <v>1386</v>
      </c>
      <c r="C458" s="1" t="s">
        <v>1399</v>
      </c>
      <c r="D458" s="142" t="s">
        <v>765</v>
      </c>
      <c r="E458" s="143" t="s">
        <v>766</v>
      </c>
      <c r="F458" s="144" t="s">
        <v>767</v>
      </c>
      <c r="G458" s="143" t="s">
        <v>107</v>
      </c>
      <c r="H458" s="146">
        <v>4.0000000000000001E-3</v>
      </c>
      <c r="I458" s="146">
        <v>7.6799999999999993E-2</v>
      </c>
      <c r="J458" s="129">
        <v>12741071</v>
      </c>
      <c r="K458" s="129">
        <f t="shared" si="26"/>
        <v>978514.2527999999</v>
      </c>
      <c r="L458" s="129"/>
      <c r="M458" s="129"/>
      <c r="N458" s="129">
        <f t="shared" si="28"/>
        <v>978514.2527999999</v>
      </c>
      <c r="O458" s="129"/>
      <c r="P458" s="129"/>
    </row>
    <row r="459" spans="1:16" s="16" customFormat="1" x14ac:dyDescent="0.2">
      <c r="A459" s="1" t="s">
        <v>1385</v>
      </c>
      <c r="B459" s="1" t="s">
        <v>1386</v>
      </c>
      <c r="C459" s="1" t="s">
        <v>1399</v>
      </c>
      <c r="D459" s="142" t="s">
        <v>768</v>
      </c>
      <c r="E459" s="143" t="s">
        <v>769</v>
      </c>
      <c r="F459" s="144" t="s">
        <v>770</v>
      </c>
      <c r="G459" s="143" t="s">
        <v>250</v>
      </c>
      <c r="H459" s="146">
        <v>83.2</v>
      </c>
      <c r="I459" s="146">
        <v>1597.44</v>
      </c>
      <c r="J459" s="129">
        <v>1150</v>
      </c>
      <c r="K459" s="129">
        <f t="shared" si="26"/>
        <v>1837056</v>
      </c>
      <c r="L459" s="129"/>
      <c r="M459" s="129"/>
      <c r="N459" s="129">
        <f t="shared" si="28"/>
        <v>1837056</v>
      </c>
      <c r="O459" s="129"/>
      <c r="P459" s="129"/>
    </row>
    <row r="460" spans="1:16" s="16" customFormat="1" x14ac:dyDescent="0.2">
      <c r="A460" s="1" t="s">
        <v>1385</v>
      </c>
      <c r="B460" s="1" t="s">
        <v>1386</v>
      </c>
      <c r="C460" s="1" t="s">
        <v>1399</v>
      </c>
      <c r="D460" s="142" t="s">
        <v>771</v>
      </c>
      <c r="E460" s="143" t="s">
        <v>772</v>
      </c>
      <c r="F460" s="144" t="s">
        <v>773</v>
      </c>
      <c r="G460" s="143" t="s">
        <v>250</v>
      </c>
      <c r="H460" s="145">
        <v>60</v>
      </c>
      <c r="I460" s="145">
        <v>1152</v>
      </c>
      <c r="J460" s="129">
        <v>1150</v>
      </c>
      <c r="K460" s="129">
        <f t="shared" si="26"/>
        <v>1324800</v>
      </c>
      <c r="L460" s="129"/>
      <c r="M460" s="129"/>
      <c r="N460" s="129">
        <f t="shared" si="28"/>
        <v>1324800</v>
      </c>
      <c r="O460" s="129"/>
      <c r="P460" s="129"/>
    </row>
    <row r="461" spans="1:16" s="16" customFormat="1" x14ac:dyDescent="0.2">
      <c r="A461" s="1" t="s">
        <v>1385</v>
      </c>
      <c r="B461" s="1" t="s">
        <v>1386</v>
      </c>
      <c r="C461" s="1" t="s">
        <v>1399</v>
      </c>
      <c r="D461" s="142" t="s">
        <v>774</v>
      </c>
      <c r="E461" s="143" t="s">
        <v>775</v>
      </c>
      <c r="F461" s="144" t="s">
        <v>776</v>
      </c>
      <c r="G461" s="143" t="s">
        <v>69</v>
      </c>
      <c r="H461" s="146">
        <v>3.26</v>
      </c>
      <c r="I461" s="146">
        <v>62.591999999999999</v>
      </c>
      <c r="J461" s="129">
        <v>5000</v>
      </c>
      <c r="K461" s="129">
        <f t="shared" si="26"/>
        <v>312960</v>
      </c>
      <c r="L461" s="129"/>
      <c r="M461" s="129"/>
      <c r="N461" s="129">
        <f t="shared" si="28"/>
        <v>312960</v>
      </c>
      <c r="O461" s="129"/>
      <c r="P461" s="129"/>
    </row>
    <row r="462" spans="1:16" s="16" customFormat="1" x14ac:dyDescent="0.2">
      <c r="A462" s="1" t="s">
        <v>1385</v>
      </c>
      <c r="B462" s="1" t="s">
        <v>1386</v>
      </c>
      <c r="C462" s="1" t="s">
        <v>1399</v>
      </c>
      <c r="D462" s="142" t="s">
        <v>777</v>
      </c>
      <c r="E462" s="143" t="s">
        <v>778</v>
      </c>
      <c r="F462" s="144" t="s">
        <v>779</v>
      </c>
      <c r="G462" s="143" t="s">
        <v>69</v>
      </c>
      <c r="H462" s="145">
        <v>6</v>
      </c>
      <c r="I462" s="146">
        <v>115.2</v>
      </c>
      <c r="J462" s="129">
        <v>5000</v>
      </c>
      <c r="K462" s="129">
        <f t="shared" si="26"/>
        <v>576000</v>
      </c>
      <c r="L462" s="129"/>
      <c r="M462" s="129"/>
      <c r="N462" s="129">
        <f t="shared" si="28"/>
        <v>576000</v>
      </c>
      <c r="O462" s="129"/>
      <c r="P462" s="129"/>
    </row>
    <row r="463" spans="1:16" s="16" customFormat="1" x14ac:dyDescent="0.2">
      <c r="A463" s="1" t="s">
        <v>1385</v>
      </c>
      <c r="B463" s="1" t="s">
        <v>1386</v>
      </c>
      <c r="C463" s="1" t="s">
        <v>1399</v>
      </c>
      <c r="D463" s="142" t="s">
        <v>780</v>
      </c>
      <c r="E463" s="143" t="s">
        <v>781</v>
      </c>
      <c r="F463" s="144" t="s">
        <v>782</v>
      </c>
      <c r="G463" s="143" t="s">
        <v>660</v>
      </c>
      <c r="H463" s="146">
        <v>0.89</v>
      </c>
      <c r="I463" s="146">
        <v>17.088000000000001</v>
      </c>
      <c r="J463" s="129">
        <v>2000</v>
      </c>
      <c r="K463" s="129">
        <f t="shared" si="26"/>
        <v>34176</v>
      </c>
      <c r="L463" s="129"/>
      <c r="M463" s="129"/>
      <c r="N463" s="129">
        <f t="shared" si="28"/>
        <v>34176</v>
      </c>
      <c r="O463" s="129"/>
      <c r="P463" s="129"/>
    </row>
    <row r="464" spans="1:16" s="1" customFormat="1" ht="38.25" x14ac:dyDescent="0.2">
      <c r="A464" s="1" t="s">
        <v>1385</v>
      </c>
      <c r="B464" s="1" t="s">
        <v>1386</v>
      </c>
      <c r="C464" s="1" t="s">
        <v>1399</v>
      </c>
      <c r="D464" s="130" t="s">
        <v>783</v>
      </c>
      <c r="E464" s="131" t="s">
        <v>715</v>
      </c>
      <c r="F464" s="131" t="s">
        <v>784</v>
      </c>
      <c r="G464" s="132" t="s">
        <v>420</v>
      </c>
      <c r="H464" s="148">
        <v>96</v>
      </c>
      <c r="I464" s="133">
        <f t="shared" ref="I464:I466" si="29">+H464</f>
        <v>96</v>
      </c>
      <c r="J464" s="129">
        <v>1134380</v>
      </c>
      <c r="K464" s="129">
        <f t="shared" ref="K464:K466" si="30">+J464*I464</f>
        <v>108900480</v>
      </c>
      <c r="L464" s="129"/>
      <c r="M464" s="129"/>
      <c r="N464" s="129">
        <f t="shared" ref="N464:N466" si="31">+J464*I464</f>
        <v>108900480</v>
      </c>
      <c r="O464" s="129"/>
      <c r="P464" s="129"/>
    </row>
    <row r="465" spans="1:16" s="1" customFormat="1" x14ac:dyDescent="0.2">
      <c r="A465" s="1" t="s">
        <v>1385</v>
      </c>
      <c r="B465" s="1" t="s">
        <v>1386</v>
      </c>
      <c r="C465" s="1" t="s">
        <v>1399</v>
      </c>
      <c r="D465" s="130" t="s">
        <v>785</v>
      </c>
      <c r="E465" s="131" t="s">
        <v>715</v>
      </c>
      <c r="F465" s="131" t="s">
        <v>786</v>
      </c>
      <c r="G465" s="132" t="s">
        <v>250</v>
      </c>
      <c r="H465" s="133">
        <v>935.72720000000004</v>
      </c>
      <c r="I465" s="133">
        <f t="shared" si="29"/>
        <v>935.72720000000004</v>
      </c>
      <c r="J465" s="129">
        <v>20982</v>
      </c>
      <c r="K465" s="129">
        <f t="shared" si="30"/>
        <v>19633428.110400002</v>
      </c>
      <c r="L465" s="129"/>
      <c r="M465" s="129"/>
      <c r="N465" s="129">
        <f t="shared" si="31"/>
        <v>19633428.110400002</v>
      </c>
      <c r="O465" s="129"/>
      <c r="P465" s="129"/>
    </row>
    <row r="466" spans="1:16" s="1" customFormat="1" ht="25.5" x14ac:dyDescent="0.2">
      <c r="A466" s="1" t="s">
        <v>1385</v>
      </c>
      <c r="B466" s="1" t="s">
        <v>1386</v>
      </c>
      <c r="C466" s="1" t="s">
        <v>1399</v>
      </c>
      <c r="D466" s="130" t="s">
        <v>787</v>
      </c>
      <c r="E466" s="131" t="s">
        <v>715</v>
      </c>
      <c r="F466" s="131" t="s">
        <v>788</v>
      </c>
      <c r="G466" s="132" t="s">
        <v>250</v>
      </c>
      <c r="H466" s="133">
        <v>4924.88</v>
      </c>
      <c r="I466" s="133">
        <f t="shared" si="29"/>
        <v>4924.88</v>
      </c>
      <c r="J466" s="129">
        <v>5892</v>
      </c>
      <c r="K466" s="129">
        <f t="shared" si="30"/>
        <v>29017392.960000001</v>
      </c>
      <c r="L466" s="129"/>
      <c r="M466" s="129"/>
      <c r="N466" s="129">
        <f t="shared" si="31"/>
        <v>29017392.960000001</v>
      </c>
      <c r="O466" s="129"/>
      <c r="P466" s="129"/>
    </row>
    <row r="467" spans="1:16" s="1" customFormat="1" ht="52.5" customHeight="1" x14ac:dyDescent="0.2">
      <c r="A467" s="1" t="s">
        <v>1385</v>
      </c>
      <c r="B467" s="1" t="s">
        <v>1386</v>
      </c>
      <c r="C467" s="1" t="s">
        <v>1397</v>
      </c>
      <c r="D467" s="130" t="s">
        <v>789</v>
      </c>
      <c r="E467" s="131" t="s">
        <v>790</v>
      </c>
      <c r="F467" s="131" t="s">
        <v>791</v>
      </c>
      <c r="G467" s="132" t="s">
        <v>21</v>
      </c>
      <c r="H467" s="133">
        <v>0.75890999999999997</v>
      </c>
      <c r="I467" s="133"/>
      <c r="J467" s="129"/>
      <c r="K467" s="129"/>
      <c r="L467" s="129"/>
      <c r="M467" s="129"/>
      <c r="N467" s="129"/>
      <c r="O467" s="129"/>
      <c r="P467" s="129"/>
    </row>
    <row r="468" spans="1:16" s="14" customFormat="1" x14ac:dyDescent="0.2">
      <c r="A468" s="1" t="s">
        <v>1385</v>
      </c>
      <c r="B468" s="1" t="s">
        <v>1386</v>
      </c>
      <c r="C468" s="1" t="s">
        <v>24</v>
      </c>
      <c r="D468" s="134" t="s">
        <v>792</v>
      </c>
      <c r="E468" s="135" t="s">
        <v>18</v>
      </c>
      <c r="F468" s="136" t="s">
        <v>23</v>
      </c>
      <c r="G468" s="135" t="s">
        <v>24</v>
      </c>
      <c r="H468" s="147">
        <v>90</v>
      </c>
      <c r="I468" s="137">
        <v>68.301900000000003</v>
      </c>
      <c r="J468" s="129">
        <v>22914.53</v>
      </c>
      <c r="K468" s="129">
        <f t="shared" ref="K468:K477" si="32">+J468*I468</f>
        <v>1565105.936607</v>
      </c>
      <c r="L468" s="129">
        <f>+I468*J468</f>
        <v>1565105.936607</v>
      </c>
      <c r="M468" s="129"/>
      <c r="N468" s="129"/>
      <c r="O468" s="129"/>
      <c r="P468" s="129"/>
    </row>
    <row r="469" spans="1:16" s="15" customFormat="1" x14ac:dyDescent="0.2">
      <c r="A469" s="1" t="s">
        <v>1385</v>
      </c>
      <c r="B469" s="1" t="s">
        <v>1386</v>
      </c>
      <c r="C469" s="1" t="s">
        <v>28</v>
      </c>
      <c r="D469" s="138" t="s">
        <v>793</v>
      </c>
      <c r="E469" s="139" t="s">
        <v>213</v>
      </c>
      <c r="F469" s="140" t="s">
        <v>214</v>
      </c>
      <c r="G469" s="139" t="s">
        <v>28</v>
      </c>
      <c r="H469" s="141">
        <v>0.59</v>
      </c>
      <c r="I469" s="141">
        <v>0.44775700000000002</v>
      </c>
      <c r="J469" s="129">
        <v>1399</v>
      </c>
      <c r="K469" s="129">
        <f t="shared" si="32"/>
        <v>626.41204300000004</v>
      </c>
      <c r="L469" s="129"/>
      <c r="M469" s="129">
        <f>+J469*I469</f>
        <v>626.41204300000004</v>
      </c>
      <c r="N469" s="129"/>
      <c r="O469" s="129"/>
      <c r="P469" s="129"/>
    </row>
    <row r="470" spans="1:16" s="15" customFormat="1" x14ac:dyDescent="0.2">
      <c r="A470" s="1" t="s">
        <v>1385</v>
      </c>
      <c r="B470" s="1" t="s">
        <v>1386</v>
      </c>
      <c r="C470" s="1" t="s">
        <v>28</v>
      </c>
      <c r="D470" s="138" t="s">
        <v>794</v>
      </c>
      <c r="E470" s="139" t="s">
        <v>95</v>
      </c>
      <c r="F470" s="140" t="s">
        <v>96</v>
      </c>
      <c r="G470" s="139" t="s">
        <v>28</v>
      </c>
      <c r="H470" s="149">
        <v>9</v>
      </c>
      <c r="I470" s="141">
        <v>6.8301999999999996</v>
      </c>
      <c r="J470" s="129">
        <v>1954</v>
      </c>
      <c r="K470" s="129">
        <f t="shared" si="32"/>
        <v>13346.210799999999</v>
      </c>
      <c r="L470" s="129"/>
      <c r="M470" s="129">
        <f>+J470*I470</f>
        <v>13346.210799999999</v>
      </c>
      <c r="N470" s="129"/>
      <c r="O470" s="129"/>
      <c r="P470" s="129"/>
    </row>
    <row r="471" spans="1:16" s="15" customFormat="1" x14ac:dyDescent="0.2">
      <c r="A471" s="1" t="s">
        <v>1385</v>
      </c>
      <c r="B471" s="1" t="s">
        <v>1386</v>
      </c>
      <c r="C471" s="1" t="s">
        <v>28</v>
      </c>
      <c r="D471" s="138" t="s">
        <v>795</v>
      </c>
      <c r="E471" s="139" t="s">
        <v>30</v>
      </c>
      <c r="F471" s="140" t="s">
        <v>31</v>
      </c>
      <c r="G471" s="139" t="s">
        <v>28</v>
      </c>
      <c r="H471" s="141">
        <v>0.2</v>
      </c>
      <c r="I471" s="141">
        <v>0.151782</v>
      </c>
      <c r="J471" s="129">
        <v>106655</v>
      </c>
      <c r="K471" s="129">
        <f t="shared" si="32"/>
        <v>16188.309209999999</v>
      </c>
      <c r="L471" s="129"/>
      <c r="M471" s="129">
        <f>+J471*I471</f>
        <v>16188.309209999999</v>
      </c>
      <c r="N471" s="129"/>
      <c r="O471" s="129"/>
      <c r="P471" s="129"/>
    </row>
    <row r="472" spans="1:16" s="15" customFormat="1" ht="24" x14ac:dyDescent="0.2">
      <c r="A472" s="1" t="s">
        <v>1385</v>
      </c>
      <c r="B472" s="1" t="s">
        <v>1386</v>
      </c>
      <c r="C472" s="1" t="s">
        <v>28</v>
      </c>
      <c r="D472" s="138" t="s">
        <v>796</v>
      </c>
      <c r="E472" s="139" t="s">
        <v>797</v>
      </c>
      <c r="F472" s="140" t="s">
        <v>798</v>
      </c>
      <c r="G472" s="139" t="s">
        <v>28</v>
      </c>
      <c r="H472" s="141">
        <v>16.059999999999999</v>
      </c>
      <c r="I472" s="141">
        <v>12.1881</v>
      </c>
      <c r="J472" s="129">
        <v>6265</v>
      </c>
      <c r="K472" s="129">
        <f t="shared" si="32"/>
        <v>76358.446500000005</v>
      </c>
      <c r="L472" s="129"/>
      <c r="M472" s="129">
        <f>+J472*I472</f>
        <v>76358.446500000005</v>
      </c>
      <c r="N472" s="129"/>
      <c r="O472" s="129"/>
      <c r="P472" s="129"/>
    </row>
    <row r="473" spans="1:16" s="16" customFormat="1" x14ac:dyDescent="0.2">
      <c r="A473" s="1" t="s">
        <v>1385</v>
      </c>
      <c r="B473" s="1" t="s">
        <v>1386</v>
      </c>
      <c r="C473" s="1" t="s">
        <v>1399</v>
      </c>
      <c r="D473" s="142" t="s">
        <v>799</v>
      </c>
      <c r="E473" s="143" t="s">
        <v>800</v>
      </c>
      <c r="F473" s="144" t="s">
        <v>801</v>
      </c>
      <c r="G473" s="143" t="s">
        <v>250</v>
      </c>
      <c r="H473" s="145">
        <v>20</v>
      </c>
      <c r="I473" s="146">
        <v>15.1782</v>
      </c>
      <c r="J473" s="129">
        <v>7500</v>
      </c>
      <c r="K473" s="129">
        <f t="shared" si="32"/>
        <v>113836.5</v>
      </c>
      <c r="L473" s="129"/>
      <c r="M473" s="129"/>
      <c r="N473" s="129">
        <f>+I473*J473</f>
        <v>113836.5</v>
      </c>
      <c r="O473" s="129"/>
      <c r="P473" s="129"/>
    </row>
    <row r="474" spans="1:16" s="16" customFormat="1" x14ac:dyDescent="0.2">
      <c r="A474" s="1" t="s">
        <v>1385</v>
      </c>
      <c r="B474" s="1" t="s">
        <v>1386</v>
      </c>
      <c r="C474" s="1" t="s">
        <v>1399</v>
      </c>
      <c r="D474" s="142" t="s">
        <v>802</v>
      </c>
      <c r="E474" s="143" t="s">
        <v>204</v>
      </c>
      <c r="F474" s="144" t="s">
        <v>205</v>
      </c>
      <c r="G474" s="143" t="s">
        <v>38</v>
      </c>
      <c r="H474" s="146">
        <v>0.5</v>
      </c>
      <c r="I474" s="146">
        <v>0.37945499999999999</v>
      </c>
      <c r="J474" s="129">
        <v>15000</v>
      </c>
      <c r="K474" s="129">
        <f t="shared" si="32"/>
        <v>5691.8249999999998</v>
      </c>
      <c r="L474" s="129"/>
      <c r="M474" s="129"/>
      <c r="N474" s="129">
        <f>+I474*J474</f>
        <v>5691.8249999999998</v>
      </c>
      <c r="O474" s="129"/>
      <c r="P474" s="129"/>
    </row>
    <row r="475" spans="1:16" s="16" customFormat="1" x14ac:dyDescent="0.2">
      <c r="A475" s="1" t="s">
        <v>1385</v>
      </c>
      <c r="B475" s="1" t="s">
        <v>1386</v>
      </c>
      <c r="C475" s="1" t="s">
        <v>1399</v>
      </c>
      <c r="D475" s="142" t="s">
        <v>803</v>
      </c>
      <c r="E475" s="143" t="s">
        <v>804</v>
      </c>
      <c r="F475" s="144" t="s">
        <v>805</v>
      </c>
      <c r="G475" s="143" t="s">
        <v>42</v>
      </c>
      <c r="H475" s="145">
        <v>4</v>
      </c>
      <c r="I475" s="146">
        <v>3.0356000000000001</v>
      </c>
      <c r="J475" s="129">
        <v>5000</v>
      </c>
      <c r="K475" s="129">
        <f t="shared" si="32"/>
        <v>15178</v>
      </c>
      <c r="L475" s="129"/>
      <c r="M475" s="129"/>
      <c r="N475" s="129">
        <f>+I475*J475</f>
        <v>15178</v>
      </c>
      <c r="O475" s="129"/>
      <c r="P475" s="129"/>
    </row>
    <row r="476" spans="1:16" s="16" customFormat="1" x14ac:dyDescent="0.2">
      <c r="A476" s="1" t="s">
        <v>1385</v>
      </c>
      <c r="B476" s="1" t="s">
        <v>1386</v>
      </c>
      <c r="C476" s="1" t="s">
        <v>1399</v>
      </c>
      <c r="D476" s="142" t="s">
        <v>806</v>
      </c>
      <c r="E476" s="143" t="s">
        <v>807</v>
      </c>
      <c r="F476" s="144" t="s">
        <v>786</v>
      </c>
      <c r="G476" s="143" t="s">
        <v>250</v>
      </c>
      <c r="H476" s="145">
        <v>38</v>
      </c>
      <c r="I476" s="146">
        <v>28.8386</v>
      </c>
      <c r="J476" s="129">
        <v>20982</v>
      </c>
      <c r="K476" s="129">
        <f t="shared" si="32"/>
        <v>605091.50520000001</v>
      </c>
      <c r="L476" s="129"/>
      <c r="M476" s="129"/>
      <c r="N476" s="129">
        <f>+I476*J476</f>
        <v>605091.50520000001</v>
      </c>
      <c r="O476" s="129"/>
      <c r="P476" s="129"/>
    </row>
    <row r="477" spans="1:16" s="16" customFormat="1" ht="24" x14ac:dyDescent="0.2">
      <c r="A477" s="1" t="s">
        <v>1385</v>
      </c>
      <c r="B477" s="1" t="s">
        <v>1386</v>
      </c>
      <c r="C477" s="1" t="s">
        <v>1399</v>
      </c>
      <c r="D477" s="142" t="s">
        <v>808</v>
      </c>
      <c r="E477" s="143" t="s">
        <v>809</v>
      </c>
      <c r="F477" s="144" t="s">
        <v>788</v>
      </c>
      <c r="G477" s="143" t="s">
        <v>250</v>
      </c>
      <c r="H477" s="145">
        <v>200</v>
      </c>
      <c r="I477" s="146">
        <v>151.78200000000001</v>
      </c>
      <c r="J477" s="129">
        <v>5892</v>
      </c>
      <c r="K477" s="129">
        <f t="shared" si="32"/>
        <v>894299.54400000011</v>
      </c>
      <c r="L477" s="129"/>
      <c r="M477" s="129"/>
      <c r="N477" s="129">
        <f>+I477*J477</f>
        <v>894299.54400000011</v>
      </c>
      <c r="O477" s="129"/>
      <c r="P477" s="129"/>
    </row>
    <row r="478" spans="1:16" s="1" customFormat="1" x14ac:dyDescent="0.2">
      <c r="A478" s="1" t="s">
        <v>1385</v>
      </c>
      <c r="B478" s="1" t="s">
        <v>1386</v>
      </c>
      <c r="C478" s="1" t="s">
        <v>1397</v>
      </c>
      <c r="D478" s="130" t="s">
        <v>810</v>
      </c>
      <c r="E478" s="131" t="s">
        <v>811</v>
      </c>
      <c r="F478" s="131" t="s">
        <v>812</v>
      </c>
      <c r="G478" s="132" t="s">
        <v>638</v>
      </c>
      <c r="H478" s="133">
        <v>1.6928000000000001</v>
      </c>
      <c r="I478" s="133"/>
      <c r="J478" s="129"/>
      <c r="K478" s="129"/>
      <c r="L478" s="129"/>
      <c r="M478" s="129"/>
      <c r="N478" s="129"/>
      <c r="O478" s="129"/>
      <c r="P478" s="129"/>
    </row>
    <row r="479" spans="1:16" s="14" customFormat="1" x14ac:dyDescent="0.2">
      <c r="A479" s="1" t="s">
        <v>1385</v>
      </c>
      <c r="B479" s="1" t="s">
        <v>1386</v>
      </c>
      <c r="C479" s="1" t="s">
        <v>24</v>
      </c>
      <c r="D479" s="134" t="s">
        <v>813</v>
      </c>
      <c r="E479" s="135" t="s">
        <v>18</v>
      </c>
      <c r="F479" s="136" t="s">
        <v>23</v>
      </c>
      <c r="G479" s="135" t="s">
        <v>24</v>
      </c>
      <c r="H479" s="137">
        <v>41.5</v>
      </c>
      <c r="I479" s="137">
        <v>70.251199999999997</v>
      </c>
      <c r="J479" s="129">
        <v>22914.53</v>
      </c>
      <c r="K479" s="129">
        <f t="shared" ref="K479:K484" si="33">+J479*I479</f>
        <v>1609773.229936</v>
      </c>
      <c r="L479" s="129">
        <f>+I479*J479</f>
        <v>1609773.229936</v>
      </c>
      <c r="M479" s="129"/>
      <c r="N479" s="129"/>
      <c r="O479" s="129"/>
      <c r="P479" s="129"/>
    </row>
    <row r="480" spans="1:16" s="15" customFormat="1" x14ac:dyDescent="0.2">
      <c r="A480" s="1" t="s">
        <v>1385</v>
      </c>
      <c r="B480" s="1" t="s">
        <v>1386</v>
      </c>
      <c r="C480" s="1" t="s">
        <v>28</v>
      </c>
      <c r="D480" s="138" t="s">
        <v>814</v>
      </c>
      <c r="E480" s="139" t="s">
        <v>98</v>
      </c>
      <c r="F480" s="140" t="s">
        <v>99</v>
      </c>
      <c r="G480" s="139" t="s">
        <v>28</v>
      </c>
      <c r="H480" s="141">
        <v>5.8</v>
      </c>
      <c r="I480" s="141">
        <v>9.8181999999999992</v>
      </c>
      <c r="J480" s="129">
        <v>6858</v>
      </c>
      <c r="K480" s="129">
        <f t="shared" si="33"/>
        <v>67333.215599999996</v>
      </c>
      <c r="L480" s="129"/>
      <c r="M480" s="129">
        <f>+J480*I480</f>
        <v>67333.215599999996</v>
      </c>
      <c r="N480" s="129"/>
      <c r="O480" s="129"/>
      <c r="P480" s="129"/>
    </row>
    <row r="481" spans="1:16" s="15" customFormat="1" x14ac:dyDescent="0.2">
      <c r="A481" s="1" t="s">
        <v>1385</v>
      </c>
      <c r="B481" s="1" t="s">
        <v>1386</v>
      </c>
      <c r="C481" s="1" t="s">
        <v>28</v>
      </c>
      <c r="D481" s="138" t="s">
        <v>815</v>
      </c>
      <c r="E481" s="139" t="s">
        <v>193</v>
      </c>
      <c r="F481" s="140" t="s">
        <v>31</v>
      </c>
      <c r="G481" s="139" t="s">
        <v>28</v>
      </c>
      <c r="H481" s="141">
        <v>2.21</v>
      </c>
      <c r="I481" s="141">
        <v>3.7410999999999999</v>
      </c>
      <c r="J481" s="129">
        <v>106655</v>
      </c>
      <c r="K481" s="129">
        <f t="shared" si="33"/>
        <v>399007.02049999998</v>
      </c>
      <c r="L481" s="129"/>
      <c r="M481" s="129">
        <f>+J481*I481</f>
        <v>399007.02049999998</v>
      </c>
      <c r="N481" s="129"/>
      <c r="O481" s="129"/>
      <c r="P481" s="129"/>
    </row>
    <row r="482" spans="1:16" s="16" customFormat="1" ht="24" x14ac:dyDescent="0.2">
      <c r="A482" s="1" t="s">
        <v>1385</v>
      </c>
      <c r="B482" s="1" t="s">
        <v>1386</v>
      </c>
      <c r="C482" s="1" t="s">
        <v>1399</v>
      </c>
      <c r="D482" s="142" t="s">
        <v>816</v>
      </c>
      <c r="E482" s="143" t="s">
        <v>817</v>
      </c>
      <c r="F482" s="144" t="s">
        <v>818</v>
      </c>
      <c r="G482" s="143" t="s">
        <v>107</v>
      </c>
      <c r="H482" s="146">
        <v>0.15</v>
      </c>
      <c r="I482" s="146">
        <v>0.25391999999999998</v>
      </c>
      <c r="J482" s="129">
        <v>523444</v>
      </c>
      <c r="K482" s="129">
        <f t="shared" si="33"/>
        <v>132912.90047999998</v>
      </c>
      <c r="L482" s="129"/>
      <c r="M482" s="129"/>
      <c r="N482" s="129">
        <f>+I482*J482</f>
        <v>132912.90047999998</v>
      </c>
      <c r="O482" s="129"/>
      <c r="P482" s="129"/>
    </row>
    <row r="483" spans="1:16" s="16" customFormat="1" x14ac:dyDescent="0.2">
      <c r="A483" s="1" t="s">
        <v>1385</v>
      </c>
      <c r="B483" s="1" t="s">
        <v>1386</v>
      </c>
      <c r="C483" s="1" t="s">
        <v>1399</v>
      </c>
      <c r="D483" s="142" t="s">
        <v>819</v>
      </c>
      <c r="E483" s="143" t="s">
        <v>820</v>
      </c>
      <c r="F483" s="144" t="s">
        <v>821</v>
      </c>
      <c r="G483" s="143" t="s">
        <v>107</v>
      </c>
      <c r="H483" s="146">
        <v>0.02</v>
      </c>
      <c r="I483" s="146">
        <v>3.3855999999999997E-2</v>
      </c>
      <c r="J483" s="129">
        <v>11250000</v>
      </c>
      <c r="K483" s="129">
        <f t="shared" si="33"/>
        <v>380879.99999999994</v>
      </c>
      <c r="L483" s="129"/>
      <c r="M483" s="129"/>
      <c r="N483" s="129">
        <f>+I483*J483</f>
        <v>380879.99999999994</v>
      </c>
      <c r="O483" s="129"/>
      <c r="P483" s="129"/>
    </row>
    <row r="484" spans="1:16" s="1" customFormat="1" x14ac:dyDescent="0.2">
      <c r="A484" s="1" t="s">
        <v>1385</v>
      </c>
      <c r="B484" s="1" t="s">
        <v>1386</v>
      </c>
      <c r="C484" s="1" t="s">
        <v>1399</v>
      </c>
      <c r="D484" s="130" t="s">
        <v>822</v>
      </c>
      <c r="E484" s="131" t="s">
        <v>173</v>
      </c>
      <c r="F484" s="131" t="s">
        <v>823</v>
      </c>
      <c r="G484" s="132" t="s">
        <v>69</v>
      </c>
      <c r="H484" s="133">
        <v>169.28</v>
      </c>
      <c r="I484" s="133">
        <f>+H484</f>
        <v>169.28</v>
      </c>
      <c r="J484" s="129">
        <v>250000</v>
      </c>
      <c r="K484" s="129">
        <f t="shared" si="33"/>
        <v>42320000</v>
      </c>
      <c r="L484" s="129"/>
      <c r="M484" s="129"/>
      <c r="N484" s="129">
        <f>+J484*I484</f>
        <v>42320000</v>
      </c>
      <c r="O484" s="129"/>
      <c r="P484" s="129"/>
    </row>
    <row r="485" spans="1:16" s="1" customFormat="1" ht="25.5" x14ac:dyDescent="0.2">
      <c r="A485" s="1" t="s">
        <v>1385</v>
      </c>
      <c r="B485" s="1" t="s">
        <v>1386</v>
      </c>
      <c r="C485" s="1" t="s">
        <v>1397</v>
      </c>
      <c r="D485" s="130" t="s">
        <v>824</v>
      </c>
      <c r="E485" s="131" t="s">
        <v>825</v>
      </c>
      <c r="F485" s="131" t="s">
        <v>826</v>
      </c>
      <c r="G485" s="132" t="s">
        <v>827</v>
      </c>
      <c r="H485" s="133">
        <v>1.6516</v>
      </c>
      <c r="I485" s="133"/>
      <c r="J485" s="129"/>
      <c r="K485" s="129"/>
      <c r="L485" s="129"/>
      <c r="M485" s="129"/>
      <c r="N485" s="129"/>
      <c r="O485" s="129"/>
      <c r="P485" s="129"/>
    </row>
    <row r="486" spans="1:16" s="14" customFormat="1" x14ac:dyDescent="0.2">
      <c r="A486" s="1" t="s">
        <v>1385</v>
      </c>
      <c r="B486" s="1" t="s">
        <v>1386</v>
      </c>
      <c r="C486" s="1" t="s">
        <v>24</v>
      </c>
      <c r="D486" s="134" t="s">
        <v>828</v>
      </c>
      <c r="E486" s="135" t="s">
        <v>18</v>
      </c>
      <c r="F486" s="136" t="s">
        <v>23</v>
      </c>
      <c r="G486" s="135" t="s">
        <v>24</v>
      </c>
      <c r="H486" s="137">
        <v>6.27</v>
      </c>
      <c r="I486" s="137">
        <v>10.355499999999999</v>
      </c>
      <c r="J486" s="129">
        <v>22914.53</v>
      </c>
      <c r="K486" s="129">
        <f>+J486*I486</f>
        <v>237291.41541499997</v>
      </c>
      <c r="L486" s="129">
        <f>+I486*J486</f>
        <v>237291.41541499997</v>
      </c>
      <c r="M486" s="129"/>
      <c r="N486" s="129"/>
      <c r="O486" s="129"/>
      <c r="P486" s="129"/>
    </row>
    <row r="487" spans="1:16" s="16" customFormat="1" x14ac:dyDescent="0.2">
      <c r="A487" s="1" t="s">
        <v>1385</v>
      </c>
      <c r="B487" s="1" t="s">
        <v>1386</v>
      </c>
      <c r="C487" s="1" t="s">
        <v>1399</v>
      </c>
      <c r="D487" s="142" t="s">
        <v>829</v>
      </c>
      <c r="E487" s="143" t="s">
        <v>830</v>
      </c>
      <c r="F487" s="144" t="s">
        <v>831</v>
      </c>
      <c r="G487" s="143" t="s">
        <v>250</v>
      </c>
      <c r="H487" s="146">
        <v>0.8</v>
      </c>
      <c r="I487" s="146">
        <v>1.3212999999999999</v>
      </c>
      <c r="J487" s="129">
        <v>28000</v>
      </c>
      <c r="K487" s="129">
        <f>+J487*I487</f>
        <v>36996.399999999994</v>
      </c>
      <c r="L487" s="129"/>
      <c r="M487" s="129"/>
      <c r="N487" s="129">
        <f>+I487*J487</f>
        <v>36996.399999999994</v>
      </c>
      <c r="O487" s="129"/>
      <c r="P487" s="129"/>
    </row>
    <row r="488" spans="1:16" s="16" customFormat="1" x14ac:dyDescent="0.2">
      <c r="A488" s="1" t="s">
        <v>1385</v>
      </c>
      <c r="B488" s="1" t="s">
        <v>1386</v>
      </c>
      <c r="C488" s="1" t="s">
        <v>1399</v>
      </c>
      <c r="D488" s="142" t="s">
        <v>832</v>
      </c>
      <c r="E488" s="143" t="s">
        <v>833</v>
      </c>
      <c r="F488" s="144" t="s">
        <v>834</v>
      </c>
      <c r="G488" s="143" t="s">
        <v>69</v>
      </c>
      <c r="H488" s="145">
        <v>102</v>
      </c>
      <c r="I488" s="146">
        <v>168.4632</v>
      </c>
      <c r="J488" s="129">
        <v>6000</v>
      </c>
      <c r="K488" s="129">
        <f>+J488*I488</f>
        <v>1010779.2</v>
      </c>
      <c r="L488" s="129"/>
      <c r="M488" s="129"/>
      <c r="N488" s="129">
        <f>+I488*J488</f>
        <v>1010779.2</v>
      </c>
      <c r="O488" s="129"/>
      <c r="P488" s="129"/>
    </row>
    <row r="489" spans="1:16" ht="15.75" x14ac:dyDescent="0.25">
      <c r="A489" s="1" t="s">
        <v>1385</v>
      </c>
      <c r="B489" s="1" t="s">
        <v>1386</v>
      </c>
      <c r="C489" s="1"/>
      <c r="D489" s="127" t="s">
        <v>835</v>
      </c>
      <c r="E489" s="128"/>
      <c r="F489" s="128"/>
      <c r="G489" s="128"/>
      <c r="H489" s="128"/>
      <c r="I489" s="128"/>
      <c r="J489" s="129"/>
      <c r="K489" s="129"/>
      <c r="L489" s="129"/>
      <c r="M489" s="129"/>
      <c r="N489" s="129"/>
      <c r="O489" s="129"/>
      <c r="P489" s="129"/>
    </row>
    <row r="490" spans="1:16" s="1" customFormat="1" ht="25.5" x14ac:dyDescent="0.2">
      <c r="A490" s="1" t="s">
        <v>1385</v>
      </c>
      <c r="B490" s="1" t="s">
        <v>1386</v>
      </c>
      <c r="C490" s="1" t="s">
        <v>1397</v>
      </c>
      <c r="D490" s="130" t="s">
        <v>836</v>
      </c>
      <c r="E490" s="131" t="s">
        <v>837</v>
      </c>
      <c r="F490" s="131" t="s">
        <v>838</v>
      </c>
      <c r="G490" s="132" t="s">
        <v>21</v>
      </c>
      <c r="H490" s="133">
        <v>1.1026</v>
      </c>
      <c r="I490" s="133"/>
      <c r="J490" s="129"/>
      <c r="K490" s="129"/>
      <c r="L490" s="129"/>
      <c r="M490" s="129"/>
      <c r="N490" s="129"/>
      <c r="O490" s="129"/>
      <c r="P490" s="129"/>
    </row>
    <row r="491" spans="1:16" s="14" customFormat="1" x14ac:dyDescent="0.2">
      <c r="A491" s="1" t="s">
        <v>1385</v>
      </c>
      <c r="B491" s="1" t="s">
        <v>1386</v>
      </c>
      <c r="C491" s="1" t="s">
        <v>24</v>
      </c>
      <c r="D491" s="134" t="s">
        <v>839</v>
      </c>
      <c r="E491" s="135" t="s">
        <v>18</v>
      </c>
      <c r="F491" s="136" t="s">
        <v>23</v>
      </c>
      <c r="G491" s="135" t="s">
        <v>24</v>
      </c>
      <c r="H491" s="137">
        <v>70.88</v>
      </c>
      <c r="I491" s="137">
        <v>78.152299999999997</v>
      </c>
      <c r="J491" s="129">
        <v>22914.53</v>
      </c>
      <c r="K491" s="129">
        <f>+J491*I491</f>
        <v>1790823.2229189998</v>
      </c>
      <c r="L491" s="129">
        <f>+I491*J491</f>
        <v>1790823.2229189998</v>
      </c>
      <c r="M491" s="129"/>
      <c r="N491" s="129"/>
      <c r="O491" s="129"/>
      <c r="P491" s="129"/>
    </row>
    <row r="492" spans="1:16" s="16" customFormat="1" x14ac:dyDescent="0.2">
      <c r="A492" s="1" t="s">
        <v>1385</v>
      </c>
      <c r="B492" s="1" t="s">
        <v>1386</v>
      </c>
      <c r="C492" s="1" t="s">
        <v>1399</v>
      </c>
      <c r="D492" s="142" t="s">
        <v>840</v>
      </c>
      <c r="E492" s="143" t="s">
        <v>841</v>
      </c>
      <c r="F492" s="144" t="s">
        <v>842</v>
      </c>
      <c r="G492" s="143" t="s">
        <v>420</v>
      </c>
      <c r="H492" s="146">
        <v>1.89</v>
      </c>
      <c r="I492" s="146">
        <v>2.0838999999999999</v>
      </c>
      <c r="J492" s="129">
        <v>484821</v>
      </c>
      <c r="K492" s="129">
        <f>+J492*I492</f>
        <v>1010318.4818999999</v>
      </c>
      <c r="L492" s="129"/>
      <c r="M492" s="129"/>
      <c r="N492" s="129">
        <f>+I492*J492</f>
        <v>1010318.4818999999</v>
      </c>
      <c r="O492" s="129"/>
      <c r="P492" s="129"/>
    </row>
    <row r="493" spans="1:16" s="1" customFormat="1" ht="39.75" customHeight="1" x14ac:dyDescent="0.2">
      <c r="A493" s="1" t="s">
        <v>1385</v>
      </c>
      <c r="B493" s="1" t="s">
        <v>1386</v>
      </c>
      <c r="C493" s="1" t="s">
        <v>1397</v>
      </c>
      <c r="D493" s="130" t="s">
        <v>843</v>
      </c>
      <c r="E493" s="131" t="s">
        <v>844</v>
      </c>
      <c r="F493" s="131" t="s">
        <v>845</v>
      </c>
      <c r="G493" s="132" t="s">
        <v>21</v>
      </c>
      <c r="H493" s="133">
        <v>1.1026</v>
      </c>
      <c r="I493" s="133"/>
      <c r="J493" s="129"/>
      <c r="K493" s="129"/>
      <c r="L493" s="129"/>
      <c r="M493" s="129"/>
      <c r="N493" s="129"/>
      <c r="O493" s="129"/>
      <c r="P493" s="129"/>
    </row>
    <row r="494" spans="1:16" s="14" customFormat="1" x14ac:dyDescent="0.2">
      <c r="A494" s="1" t="s">
        <v>1385</v>
      </c>
      <c r="B494" s="1" t="s">
        <v>1386</v>
      </c>
      <c r="C494" s="1" t="s">
        <v>24</v>
      </c>
      <c r="D494" s="134" t="s">
        <v>846</v>
      </c>
      <c r="E494" s="135" t="s">
        <v>18</v>
      </c>
      <c r="F494" s="136" t="s">
        <v>23</v>
      </c>
      <c r="G494" s="135" t="s">
        <v>24</v>
      </c>
      <c r="H494" s="137">
        <v>307.8</v>
      </c>
      <c r="I494" s="137">
        <v>339.38029999999998</v>
      </c>
      <c r="J494" s="129">
        <v>22914.53</v>
      </c>
      <c r="K494" s="129">
        <f>+J494*I494</f>
        <v>7776740.0657589994</v>
      </c>
      <c r="L494" s="129">
        <f>+I494*J494</f>
        <v>7776740.0657589994</v>
      </c>
      <c r="M494" s="129"/>
      <c r="N494" s="129"/>
      <c r="O494" s="129"/>
      <c r="P494" s="129"/>
    </row>
    <row r="495" spans="1:16" s="16" customFormat="1" x14ac:dyDescent="0.2">
      <c r="A495" s="1" t="s">
        <v>1385</v>
      </c>
      <c r="B495" s="1" t="s">
        <v>1386</v>
      </c>
      <c r="C495" s="1" t="s">
        <v>1399</v>
      </c>
      <c r="D495" s="142" t="s">
        <v>847</v>
      </c>
      <c r="E495" s="143" t="s">
        <v>848</v>
      </c>
      <c r="F495" s="144" t="s">
        <v>849</v>
      </c>
      <c r="G495" s="143" t="s">
        <v>420</v>
      </c>
      <c r="H495" s="145">
        <v>2</v>
      </c>
      <c r="I495" s="146">
        <v>2.2052</v>
      </c>
      <c r="J495" s="129">
        <v>332390</v>
      </c>
      <c r="K495" s="129">
        <f>+J495*I495</f>
        <v>732986.42800000007</v>
      </c>
      <c r="L495" s="129"/>
      <c r="M495" s="129"/>
      <c r="N495" s="129">
        <f>+I495*J495</f>
        <v>732986.42800000007</v>
      </c>
      <c r="O495" s="129"/>
      <c r="P495" s="129"/>
    </row>
    <row r="496" spans="1:16" s="16" customFormat="1" ht="24" x14ac:dyDescent="0.2">
      <c r="A496" s="1" t="s">
        <v>1385</v>
      </c>
      <c r="B496" s="1" t="s">
        <v>1386</v>
      </c>
      <c r="C496" s="1" t="s">
        <v>1399</v>
      </c>
      <c r="D496" s="142" t="s">
        <v>850</v>
      </c>
      <c r="E496" s="143" t="s">
        <v>851</v>
      </c>
      <c r="F496" s="144" t="s">
        <v>852</v>
      </c>
      <c r="G496" s="143" t="s">
        <v>107</v>
      </c>
      <c r="H496" s="146">
        <v>0.04</v>
      </c>
      <c r="I496" s="146">
        <v>4.4103999999999997E-2</v>
      </c>
      <c r="J496" s="129">
        <v>523444</v>
      </c>
      <c r="K496" s="129">
        <f>+J496*I496</f>
        <v>23085.974176</v>
      </c>
      <c r="L496" s="129"/>
      <c r="M496" s="129"/>
      <c r="N496" s="129">
        <f>+I496*J496</f>
        <v>23085.974176</v>
      </c>
      <c r="O496" s="129"/>
      <c r="P496" s="129"/>
    </row>
    <row r="497" spans="1:16" s="16" customFormat="1" x14ac:dyDescent="0.2">
      <c r="A497" s="1" t="s">
        <v>1385</v>
      </c>
      <c r="B497" s="1" t="s">
        <v>1386</v>
      </c>
      <c r="C497" s="1" t="s">
        <v>1399</v>
      </c>
      <c r="D497" s="142" t="s">
        <v>853</v>
      </c>
      <c r="E497" s="143" t="s">
        <v>854</v>
      </c>
      <c r="F497" s="144" t="s">
        <v>855</v>
      </c>
      <c r="G497" s="143" t="s">
        <v>38</v>
      </c>
      <c r="H497" s="145">
        <v>100</v>
      </c>
      <c r="I497" s="146">
        <v>110.26</v>
      </c>
      <c r="J497" s="129">
        <v>63000</v>
      </c>
      <c r="K497" s="129">
        <f>+J497*I497</f>
        <v>6946380</v>
      </c>
      <c r="L497" s="129"/>
      <c r="M497" s="129"/>
      <c r="N497" s="129">
        <f>+I497*J497</f>
        <v>6946380</v>
      </c>
      <c r="O497" s="129"/>
      <c r="P497" s="129"/>
    </row>
    <row r="498" spans="1:16" ht="15.75" x14ac:dyDescent="0.25">
      <c r="A498" s="1" t="s">
        <v>1385</v>
      </c>
      <c r="B498" s="1" t="s">
        <v>1386</v>
      </c>
      <c r="C498" s="1"/>
      <c r="D498" s="127" t="s">
        <v>856</v>
      </c>
      <c r="E498" s="128"/>
      <c r="F498" s="128"/>
      <c r="G498" s="128"/>
      <c r="H498" s="128"/>
      <c r="I498" s="128"/>
      <c r="J498" s="129"/>
      <c r="K498" s="129"/>
      <c r="L498" s="129"/>
      <c r="M498" s="129"/>
      <c r="N498" s="129"/>
      <c r="O498" s="129"/>
      <c r="P498" s="129"/>
    </row>
    <row r="499" spans="1:16" s="1" customFormat="1" ht="51" x14ac:dyDescent="0.2">
      <c r="A499" s="1" t="s">
        <v>1385</v>
      </c>
      <c r="B499" s="1" t="s">
        <v>1386</v>
      </c>
      <c r="C499" s="1" t="s">
        <v>1397</v>
      </c>
      <c r="D499" s="130" t="s">
        <v>857</v>
      </c>
      <c r="E499" s="131" t="s">
        <v>514</v>
      </c>
      <c r="F499" s="131" t="s">
        <v>515</v>
      </c>
      <c r="G499" s="132" t="s">
        <v>21</v>
      </c>
      <c r="H499" s="133">
        <v>5.2200000000000003E-2</v>
      </c>
      <c r="I499" s="133"/>
      <c r="J499" s="129"/>
      <c r="K499" s="129"/>
      <c r="L499" s="129"/>
      <c r="M499" s="129"/>
      <c r="N499" s="129"/>
      <c r="O499" s="129"/>
      <c r="P499" s="129"/>
    </row>
    <row r="500" spans="1:16" s="14" customFormat="1" x14ac:dyDescent="0.2">
      <c r="A500" s="1" t="s">
        <v>1385</v>
      </c>
      <c r="B500" s="1" t="s">
        <v>1386</v>
      </c>
      <c r="C500" s="1" t="s">
        <v>24</v>
      </c>
      <c r="D500" s="134" t="s">
        <v>858</v>
      </c>
      <c r="E500" s="135" t="s">
        <v>18</v>
      </c>
      <c r="F500" s="136" t="s">
        <v>23</v>
      </c>
      <c r="G500" s="135" t="s">
        <v>24</v>
      </c>
      <c r="H500" s="137">
        <v>119.78</v>
      </c>
      <c r="I500" s="137">
        <v>6.2525000000000004</v>
      </c>
      <c r="J500" s="129">
        <v>22914.53</v>
      </c>
      <c r="K500" s="129">
        <f t="shared" ref="K500:K505" si="34">+J500*I500</f>
        <v>143273.09882499999</v>
      </c>
      <c r="L500" s="129">
        <f>+I500*J500</f>
        <v>143273.09882499999</v>
      </c>
      <c r="M500" s="129"/>
      <c r="N500" s="129"/>
      <c r="O500" s="129"/>
      <c r="P500" s="129"/>
    </row>
    <row r="501" spans="1:16" s="15" customFormat="1" x14ac:dyDescent="0.2">
      <c r="A501" s="1" t="s">
        <v>1385</v>
      </c>
      <c r="B501" s="1" t="s">
        <v>1386</v>
      </c>
      <c r="C501" s="1" t="s">
        <v>28</v>
      </c>
      <c r="D501" s="138" t="s">
        <v>859</v>
      </c>
      <c r="E501" s="139" t="s">
        <v>30</v>
      </c>
      <c r="F501" s="140" t="s">
        <v>31</v>
      </c>
      <c r="G501" s="139" t="s">
        <v>28</v>
      </c>
      <c r="H501" s="141">
        <v>0.28000000000000003</v>
      </c>
      <c r="I501" s="141">
        <v>1.4616000000000001E-2</v>
      </c>
      <c r="J501" s="129">
        <v>106655</v>
      </c>
      <c r="K501" s="129">
        <f t="shared" si="34"/>
        <v>1558.8694800000001</v>
      </c>
      <c r="L501" s="129"/>
      <c r="M501" s="129">
        <f>+J501*I501</f>
        <v>1558.8694800000001</v>
      </c>
      <c r="N501" s="129"/>
      <c r="O501" s="129"/>
      <c r="P501" s="129"/>
    </row>
    <row r="502" spans="1:16" s="15" customFormat="1" x14ac:dyDescent="0.2">
      <c r="A502" s="1" t="s">
        <v>1385</v>
      </c>
      <c r="B502" s="1" t="s">
        <v>1386</v>
      </c>
      <c r="C502" s="1" t="s">
        <v>28</v>
      </c>
      <c r="D502" s="138" t="s">
        <v>860</v>
      </c>
      <c r="E502" s="139" t="s">
        <v>519</v>
      </c>
      <c r="F502" s="140" t="s">
        <v>520</v>
      </c>
      <c r="G502" s="139" t="s">
        <v>28</v>
      </c>
      <c r="H502" s="141">
        <v>1.56</v>
      </c>
      <c r="I502" s="141">
        <v>8.1432000000000004E-2</v>
      </c>
      <c r="J502" s="129">
        <v>21745</v>
      </c>
      <c r="K502" s="129">
        <f t="shared" si="34"/>
        <v>1770.73884</v>
      </c>
      <c r="L502" s="129"/>
      <c r="M502" s="129">
        <f>+J502*I502</f>
        <v>1770.73884</v>
      </c>
      <c r="N502" s="129"/>
      <c r="O502" s="129"/>
      <c r="P502" s="129"/>
    </row>
    <row r="503" spans="1:16" s="16" customFormat="1" ht="24" x14ac:dyDescent="0.2">
      <c r="A503" s="1" t="s">
        <v>1385</v>
      </c>
      <c r="B503" s="1" t="s">
        <v>1386</v>
      </c>
      <c r="C503" s="1" t="s">
        <v>1399</v>
      </c>
      <c r="D503" s="142" t="s">
        <v>861</v>
      </c>
      <c r="E503" s="143" t="s">
        <v>522</v>
      </c>
      <c r="F503" s="144" t="s">
        <v>523</v>
      </c>
      <c r="G503" s="143" t="s">
        <v>38</v>
      </c>
      <c r="H503" s="145">
        <v>102</v>
      </c>
      <c r="I503" s="146">
        <v>5.3243999999999998</v>
      </c>
      <c r="J503" s="129">
        <v>48000</v>
      </c>
      <c r="K503" s="129">
        <f t="shared" si="34"/>
        <v>255571.19999999998</v>
      </c>
      <c r="L503" s="129"/>
      <c r="M503" s="129"/>
      <c r="N503" s="129">
        <f>+I503*J503</f>
        <v>255571.19999999998</v>
      </c>
      <c r="O503" s="129"/>
      <c r="P503" s="129"/>
    </row>
    <row r="504" spans="1:16" s="16" customFormat="1" x14ac:dyDescent="0.2">
      <c r="A504" s="1" t="s">
        <v>1385</v>
      </c>
      <c r="B504" s="1" t="s">
        <v>1386</v>
      </c>
      <c r="C504" s="1" t="s">
        <v>1399</v>
      </c>
      <c r="D504" s="142" t="s">
        <v>862</v>
      </c>
      <c r="E504" s="143" t="s">
        <v>525</v>
      </c>
      <c r="F504" s="144" t="s">
        <v>526</v>
      </c>
      <c r="G504" s="143" t="s">
        <v>250</v>
      </c>
      <c r="H504" s="145">
        <v>450</v>
      </c>
      <c r="I504" s="146">
        <v>23.49</v>
      </c>
      <c r="J504" s="129">
        <v>1150</v>
      </c>
      <c r="K504" s="129">
        <f t="shared" si="34"/>
        <v>27013.5</v>
      </c>
      <c r="L504" s="129"/>
      <c r="M504" s="129"/>
      <c r="N504" s="129">
        <f>+I504*J504</f>
        <v>27013.5</v>
      </c>
      <c r="O504" s="129"/>
      <c r="P504" s="129"/>
    </row>
    <row r="505" spans="1:16" s="16" customFormat="1" x14ac:dyDescent="0.2">
      <c r="A505" s="1" t="s">
        <v>1385</v>
      </c>
      <c r="B505" s="1" t="s">
        <v>1386</v>
      </c>
      <c r="C505" s="1" t="s">
        <v>1399</v>
      </c>
      <c r="D505" s="142" t="s">
        <v>863</v>
      </c>
      <c r="E505" s="143" t="s">
        <v>528</v>
      </c>
      <c r="F505" s="144" t="s">
        <v>529</v>
      </c>
      <c r="G505" s="143" t="s">
        <v>107</v>
      </c>
      <c r="H505" s="146">
        <v>0.05</v>
      </c>
      <c r="I505" s="146">
        <v>2.6099999999999999E-3</v>
      </c>
      <c r="J505" s="129">
        <v>1150000</v>
      </c>
      <c r="K505" s="129">
        <f t="shared" si="34"/>
        <v>3001.5</v>
      </c>
      <c r="L505" s="129"/>
      <c r="M505" s="129"/>
      <c r="N505" s="129">
        <f>+I505*J505</f>
        <v>3001.5</v>
      </c>
      <c r="O505" s="129"/>
      <c r="P505" s="129"/>
    </row>
    <row r="506" spans="1:16" ht="15.75" x14ac:dyDescent="0.25">
      <c r="A506" s="1" t="s">
        <v>1385</v>
      </c>
      <c r="B506" s="1" t="s">
        <v>1386</v>
      </c>
      <c r="C506" s="1"/>
      <c r="D506" s="127" t="s">
        <v>864</v>
      </c>
      <c r="E506" s="128"/>
      <c r="F506" s="128"/>
      <c r="G506" s="128"/>
      <c r="H506" s="128"/>
      <c r="I506" s="128"/>
      <c r="J506" s="129"/>
      <c r="K506" s="129"/>
      <c r="L506" s="129"/>
      <c r="M506" s="129"/>
      <c r="N506" s="129"/>
      <c r="O506" s="129"/>
      <c r="P506" s="129"/>
    </row>
    <row r="507" spans="1:16" s="1" customFormat="1" x14ac:dyDescent="0.2">
      <c r="A507" s="1" t="s">
        <v>1385</v>
      </c>
      <c r="B507" s="1" t="s">
        <v>1386</v>
      </c>
      <c r="C507" s="1" t="s">
        <v>1397</v>
      </c>
      <c r="D507" s="130" t="s">
        <v>865</v>
      </c>
      <c r="E507" s="131" t="s">
        <v>866</v>
      </c>
      <c r="F507" s="131" t="s">
        <v>867</v>
      </c>
      <c r="G507" s="132" t="s">
        <v>107</v>
      </c>
      <c r="H507" s="133">
        <v>7.2119999999999997E-3</v>
      </c>
      <c r="I507" s="133"/>
      <c r="J507" s="129"/>
      <c r="K507" s="129"/>
      <c r="L507" s="129"/>
      <c r="M507" s="129"/>
      <c r="N507" s="129"/>
      <c r="O507" s="129"/>
      <c r="P507" s="129"/>
    </row>
    <row r="508" spans="1:16" s="14" customFormat="1" x14ac:dyDescent="0.2">
      <c r="A508" s="1" t="s">
        <v>1385</v>
      </c>
      <c r="B508" s="1" t="s">
        <v>1386</v>
      </c>
      <c r="C508" s="1" t="s">
        <v>24</v>
      </c>
      <c r="D508" s="134" t="s">
        <v>868</v>
      </c>
      <c r="E508" s="135" t="s">
        <v>18</v>
      </c>
      <c r="F508" s="136" t="s">
        <v>23</v>
      </c>
      <c r="G508" s="135" t="s">
        <v>24</v>
      </c>
      <c r="H508" s="137">
        <v>215.82</v>
      </c>
      <c r="I508" s="137">
        <v>1.5565</v>
      </c>
      <c r="J508" s="129">
        <v>22914.53</v>
      </c>
      <c r="K508" s="129">
        <f>+J508*I508</f>
        <v>35666.465944999996</v>
      </c>
      <c r="L508" s="129">
        <f>+I508*J508</f>
        <v>35666.465944999996</v>
      </c>
      <c r="M508" s="129"/>
      <c r="N508" s="129"/>
      <c r="O508" s="129"/>
      <c r="P508" s="129"/>
    </row>
    <row r="509" spans="1:16" s="15" customFormat="1" x14ac:dyDescent="0.2">
      <c r="A509" s="1" t="s">
        <v>1385</v>
      </c>
      <c r="B509" s="1" t="s">
        <v>1386</v>
      </c>
      <c r="C509" s="1" t="s">
        <v>28</v>
      </c>
      <c r="D509" s="138" t="s">
        <v>869</v>
      </c>
      <c r="E509" s="139" t="s">
        <v>30</v>
      </c>
      <c r="F509" s="140" t="s">
        <v>31</v>
      </c>
      <c r="G509" s="139" t="s">
        <v>28</v>
      </c>
      <c r="H509" s="141">
        <v>0.21</v>
      </c>
      <c r="I509" s="141">
        <v>1.5150000000000001E-3</v>
      </c>
      <c r="J509" s="129">
        <v>106655</v>
      </c>
      <c r="K509" s="129">
        <f>+J509*I509</f>
        <v>161.582325</v>
      </c>
      <c r="L509" s="129"/>
      <c r="M509" s="129">
        <f>+J509*I509</f>
        <v>161.582325</v>
      </c>
      <c r="N509" s="129"/>
      <c r="O509" s="129"/>
      <c r="P509" s="129"/>
    </row>
    <row r="510" spans="1:16" s="16" customFormat="1" x14ac:dyDescent="0.2">
      <c r="A510" s="1" t="s">
        <v>1385</v>
      </c>
      <c r="B510" s="1" t="s">
        <v>1386</v>
      </c>
      <c r="C510" s="1" t="s">
        <v>1399</v>
      </c>
      <c r="D510" s="142" t="s">
        <v>870</v>
      </c>
      <c r="E510" s="143" t="s">
        <v>109</v>
      </c>
      <c r="F510" s="144" t="s">
        <v>110</v>
      </c>
      <c r="G510" s="143" t="s">
        <v>107</v>
      </c>
      <c r="H510" s="145">
        <v>1</v>
      </c>
      <c r="I510" s="146">
        <v>7.2119999999999997E-3</v>
      </c>
      <c r="J510" s="129">
        <v>9000000</v>
      </c>
      <c r="K510" s="129">
        <f>+J510*I510</f>
        <v>64908</v>
      </c>
      <c r="L510" s="129"/>
      <c r="M510" s="129"/>
      <c r="N510" s="129">
        <f>+I510*J510</f>
        <v>64908</v>
      </c>
      <c r="O510" s="129"/>
      <c r="P510" s="129"/>
    </row>
    <row r="511" spans="1:16" s="1" customFormat="1" ht="25.5" x14ac:dyDescent="0.2">
      <c r="A511" s="1" t="s">
        <v>1385</v>
      </c>
      <c r="B511" s="1" t="s">
        <v>1386</v>
      </c>
      <c r="C511" s="1" t="s">
        <v>1397</v>
      </c>
      <c r="D511" s="130" t="s">
        <v>871</v>
      </c>
      <c r="E511" s="131" t="s">
        <v>872</v>
      </c>
      <c r="F511" s="131" t="s">
        <v>873</v>
      </c>
      <c r="G511" s="132" t="s">
        <v>107</v>
      </c>
      <c r="H511" s="133">
        <v>0.11643000000000001</v>
      </c>
      <c r="I511" s="133"/>
      <c r="J511" s="129"/>
      <c r="K511" s="129"/>
      <c r="L511" s="129"/>
      <c r="M511" s="129"/>
      <c r="N511" s="129"/>
      <c r="O511" s="129"/>
      <c r="P511" s="129"/>
    </row>
    <row r="512" spans="1:16" s="14" customFormat="1" x14ac:dyDescent="0.2">
      <c r="A512" s="1" t="s">
        <v>1385</v>
      </c>
      <c r="B512" s="1" t="s">
        <v>1386</v>
      </c>
      <c r="C512" s="1" t="s">
        <v>24</v>
      </c>
      <c r="D512" s="134" t="s">
        <v>874</v>
      </c>
      <c r="E512" s="135" t="s">
        <v>18</v>
      </c>
      <c r="F512" s="136" t="s">
        <v>23</v>
      </c>
      <c r="G512" s="135" t="s">
        <v>24</v>
      </c>
      <c r="H512" s="137">
        <v>25.53</v>
      </c>
      <c r="I512" s="137">
        <v>2.9725000000000001</v>
      </c>
      <c r="J512" s="129">
        <v>22914.53</v>
      </c>
      <c r="K512" s="129">
        <f t="shared" ref="K512:K522" si="35">+J512*I512</f>
        <v>68113.440424999993</v>
      </c>
      <c r="L512" s="129">
        <f>+I512*J512</f>
        <v>68113.440424999993</v>
      </c>
      <c r="M512" s="129"/>
      <c r="N512" s="129"/>
      <c r="O512" s="129"/>
      <c r="P512" s="129"/>
    </row>
    <row r="513" spans="1:16" s="15" customFormat="1" ht="24" x14ac:dyDescent="0.2">
      <c r="A513" s="1" t="s">
        <v>1385</v>
      </c>
      <c r="B513" s="1" t="s">
        <v>1386</v>
      </c>
      <c r="C513" s="1" t="s">
        <v>28</v>
      </c>
      <c r="D513" s="138" t="s">
        <v>875</v>
      </c>
      <c r="E513" s="139" t="s">
        <v>876</v>
      </c>
      <c r="F513" s="140" t="s">
        <v>877</v>
      </c>
      <c r="G513" s="139" t="s">
        <v>28</v>
      </c>
      <c r="H513" s="141">
        <v>0.47</v>
      </c>
      <c r="I513" s="141">
        <v>5.4722E-2</v>
      </c>
      <c r="J513" s="129">
        <v>239461</v>
      </c>
      <c r="K513" s="129">
        <f t="shared" si="35"/>
        <v>13103.784841999999</v>
      </c>
      <c r="L513" s="129"/>
      <c r="M513" s="129">
        <f>+J513*I513</f>
        <v>13103.784841999999</v>
      </c>
      <c r="N513" s="129"/>
      <c r="O513" s="129"/>
      <c r="P513" s="129"/>
    </row>
    <row r="514" spans="1:16" s="15" customFormat="1" x14ac:dyDescent="0.2">
      <c r="A514" s="1" t="s">
        <v>1385</v>
      </c>
      <c r="B514" s="1" t="s">
        <v>1386</v>
      </c>
      <c r="C514" s="1" t="s">
        <v>28</v>
      </c>
      <c r="D514" s="138" t="s">
        <v>878</v>
      </c>
      <c r="E514" s="139" t="s">
        <v>95</v>
      </c>
      <c r="F514" s="140" t="s">
        <v>96</v>
      </c>
      <c r="G514" s="139" t="s">
        <v>28</v>
      </c>
      <c r="H514" s="141">
        <v>0.23</v>
      </c>
      <c r="I514" s="141">
        <v>2.6779000000000001E-2</v>
      </c>
      <c r="J514" s="129">
        <v>1954</v>
      </c>
      <c r="K514" s="129">
        <f t="shared" si="35"/>
        <v>52.326166000000001</v>
      </c>
      <c r="L514" s="129"/>
      <c r="M514" s="129">
        <f>+J514*I514</f>
        <v>52.326166000000001</v>
      </c>
      <c r="N514" s="129"/>
      <c r="O514" s="129"/>
      <c r="P514" s="129"/>
    </row>
    <row r="515" spans="1:16" s="15" customFormat="1" ht="24" x14ac:dyDescent="0.2">
      <c r="A515" s="1" t="s">
        <v>1385</v>
      </c>
      <c r="B515" s="1" t="s">
        <v>1386</v>
      </c>
      <c r="C515" s="1" t="s">
        <v>28</v>
      </c>
      <c r="D515" s="138" t="s">
        <v>879</v>
      </c>
      <c r="E515" s="139" t="s">
        <v>683</v>
      </c>
      <c r="F515" s="140" t="s">
        <v>684</v>
      </c>
      <c r="G515" s="139" t="s">
        <v>28</v>
      </c>
      <c r="H515" s="141">
        <v>0.6</v>
      </c>
      <c r="I515" s="141">
        <v>6.9858000000000003E-2</v>
      </c>
      <c r="J515" s="129">
        <v>16353</v>
      </c>
      <c r="K515" s="129">
        <f t="shared" si="35"/>
        <v>1142.387874</v>
      </c>
      <c r="L515" s="129"/>
      <c r="M515" s="129">
        <f>+J515*I515</f>
        <v>1142.387874</v>
      </c>
      <c r="N515" s="129"/>
      <c r="O515" s="129"/>
      <c r="P515" s="129"/>
    </row>
    <row r="516" spans="1:16" s="15" customFormat="1" x14ac:dyDescent="0.2">
      <c r="A516" s="1" t="s">
        <v>1385</v>
      </c>
      <c r="B516" s="1" t="s">
        <v>1386</v>
      </c>
      <c r="C516" s="1" t="s">
        <v>28</v>
      </c>
      <c r="D516" s="138" t="s">
        <v>880</v>
      </c>
      <c r="E516" s="139" t="s">
        <v>30</v>
      </c>
      <c r="F516" s="140" t="s">
        <v>31</v>
      </c>
      <c r="G516" s="139" t="s">
        <v>28</v>
      </c>
      <c r="H516" s="141">
        <v>0.71</v>
      </c>
      <c r="I516" s="141">
        <v>8.2665000000000002E-2</v>
      </c>
      <c r="J516" s="129">
        <v>106655</v>
      </c>
      <c r="K516" s="129">
        <f t="shared" si="35"/>
        <v>8816.6355750000002</v>
      </c>
      <c r="L516" s="129"/>
      <c r="M516" s="129">
        <f>+J516*I516</f>
        <v>8816.6355750000002</v>
      </c>
      <c r="N516" s="129"/>
      <c r="O516" s="129"/>
      <c r="P516" s="129"/>
    </row>
    <row r="517" spans="1:16" s="15" customFormat="1" x14ac:dyDescent="0.2">
      <c r="A517" s="1" t="s">
        <v>1385</v>
      </c>
      <c r="B517" s="1" t="s">
        <v>1386</v>
      </c>
      <c r="C517" s="1" t="s">
        <v>28</v>
      </c>
      <c r="D517" s="138" t="s">
        <v>881</v>
      </c>
      <c r="E517" s="139" t="s">
        <v>687</v>
      </c>
      <c r="F517" s="140" t="s">
        <v>688</v>
      </c>
      <c r="G517" s="139" t="s">
        <v>28</v>
      </c>
      <c r="H517" s="141">
        <v>0.9</v>
      </c>
      <c r="I517" s="141">
        <v>0.10478700000000001</v>
      </c>
      <c r="J517" s="129">
        <v>1586</v>
      </c>
      <c r="K517" s="129">
        <f t="shared" si="35"/>
        <v>166.192182</v>
      </c>
      <c r="L517" s="129"/>
      <c r="M517" s="129">
        <f>+J517*I517</f>
        <v>166.192182</v>
      </c>
      <c r="N517" s="129"/>
      <c r="O517" s="129"/>
      <c r="P517" s="129"/>
    </row>
    <row r="518" spans="1:16" s="16" customFormat="1" x14ac:dyDescent="0.2">
      <c r="A518" s="1" t="s">
        <v>1385</v>
      </c>
      <c r="B518" s="1" t="s">
        <v>1386</v>
      </c>
      <c r="C518" s="1" t="s">
        <v>1399</v>
      </c>
      <c r="D518" s="142" t="s">
        <v>882</v>
      </c>
      <c r="E518" s="143" t="s">
        <v>690</v>
      </c>
      <c r="F518" s="144" t="s">
        <v>691</v>
      </c>
      <c r="G518" s="143" t="s">
        <v>420</v>
      </c>
      <c r="H518" s="146">
        <v>0.72</v>
      </c>
      <c r="I518" s="146">
        <v>8.3830000000000002E-2</v>
      </c>
      <c r="J518" s="129">
        <v>4210</v>
      </c>
      <c r="K518" s="129">
        <f t="shared" si="35"/>
        <v>352.92430000000002</v>
      </c>
      <c r="L518" s="129"/>
      <c r="M518" s="129"/>
      <c r="N518" s="129">
        <f>+I518*J518</f>
        <v>352.92430000000002</v>
      </c>
      <c r="O518" s="129"/>
      <c r="P518" s="129"/>
    </row>
    <row r="519" spans="1:16" s="16" customFormat="1" x14ac:dyDescent="0.2">
      <c r="A519" s="1" t="s">
        <v>1385</v>
      </c>
      <c r="B519" s="1" t="s">
        <v>1386</v>
      </c>
      <c r="C519" s="1" t="s">
        <v>1399</v>
      </c>
      <c r="D519" s="142" t="s">
        <v>883</v>
      </c>
      <c r="E519" s="143" t="s">
        <v>693</v>
      </c>
      <c r="F519" s="144" t="s">
        <v>694</v>
      </c>
      <c r="G519" s="143" t="s">
        <v>107</v>
      </c>
      <c r="H519" s="146">
        <v>2.7000000000000001E-3</v>
      </c>
      <c r="I519" s="146">
        <v>3.1399999999999999E-4</v>
      </c>
      <c r="J519" s="129">
        <v>11250000</v>
      </c>
      <c r="K519" s="129">
        <f t="shared" si="35"/>
        <v>3532.5</v>
      </c>
      <c r="L519" s="129"/>
      <c r="M519" s="129"/>
      <c r="N519" s="129">
        <f>+I519*J519</f>
        <v>3532.5</v>
      </c>
      <c r="O519" s="129"/>
      <c r="P519" s="129"/>
    </row>
    <row r="520" spans="1:16" s="16" customFormat="1" x14ac:dyDescent="0.2">
      <c r="A520" s="1" t="s">
        <v>1385</v>
      </c>
      <c r="B520" s="1" t="s">
        <v>1386</v>
      </c>
      <c r="C520" s="1" t="s">
        <v>1399</v>
      </c>
      <c r="D520" s="142" t="s">
        <v>884</v>
      </c>
      <c r="E520" s="143" t="s">
        <v>885</v>
      </c>
      <c r="F520" s="144" t="s">
        <v>886</v>
      </c>
      <c r="G520" s="143" t="s">
        <v>42</v>
      </c>
      <c r="H520" s="146">
        <v>0.06</v>
      </c>
      <c r="I520" s="146">
        <v>6.986E-3</v>
      </c>
      <c r="J520" s="129">
        <v>15000</v>
      </c>
      <c r="K520" s="129">
        <f t="shared" si="35"/>
        <v>104.79</v>
      </c>
      <c r="L520" s="129"/>
      <c r="M520" s="129"/>
      <c r="N520" s="129">
        <f>+I520*J520</f>
        <v>104.79</v>
      </c>
      <c r="O520" s="129"/>
      <c r="P520" s="129"/>
    </row>
    <row r="521" spans="1:16" s="16" customFormat="1" x14ac:dyDescent="0.2">
      <c r="A521" s="1" t="s">
        <v>1385</v>
      </c>
      <c r="B521" s="1" t="s">
        <v>1386</v>
      </c>
      <c r="C521" s="1" t="s">
        <v>1399</v>
      </c>
      <c r="D521" s="142" t="s">
        <v>887</v>
      </c>
      <c r="E521" s="143" t="s">
        <v>696</v>
      </c>
      <c r="F521" s="144" t="s">
        <v>486</v>
      </c>
      <c r="G521" s="143" t="s">
        <v>250</v>
      </c>
      <c r="H521" s="146">
        <v>0.22</v>
      </c>
      <c r="I521" s="146">
        <v>2.5614999999999999E-2</v>
      </c>
      <c r="J521" s="129">
        <v>2500</v>
      </c>
      <c r="K521" s="129">
        <f t="shared" si="35"/>
        <v>64.037499999999994</v>
      </c>
      <c r="L521" s="129"/>
      <c r="M521" s="129"/>
      <c r="N521" s="129">
        <f>+I521*J521</f>
        <v>64.037499999999994</v>
      </c>
      <c r="O521" s="129"/>
      <c r="P521" s="129"/>
    </row>
    <row r="522" spans="1:16" s="16" customFormat="1" x14ac:dyDescent="0.2">
      <c r="A522" s="1" t="s">
        <v>1385</v>
      </c>
      <c r="B522" s="1" t="s">
        <v>1386</v>
      </c>
      <c r="C522" s="1" t="s">
        <v>1399</v>
      </c>
      <c r="D522" s="142" t="s">
        <v>888</v>
      </c>
      <c r="E522" s="143" t="s">
        <v>698</v>
      </c>
      <c r="F522" s="144" t="s">
        <v>699</v>
      </c>
      <c r="G522" s="143" t="s">
        <v>107</v>
      </c>
      <c r="H522" s="145">
        <v>1</v>
      </c>
      <c r="I522" s="146">
        <v>0.11643000000000001</v>
      </c>
      <c r="J522" s="129">
        <v>9000000</v>
      </c>
      <c r="K522" s="129">
        <f t="shared" si="35"/>
        <v>1047870</v>
      </c>
      <c r="L522" s="129"/>
      <c r="M522" s="129"/>
      <c r="N522" s="129">
        <f>+I522*J522</f>
        <v>1047870</v>
      </c>
      <c r="O522" s="129"/>
      <c r="P522" s="129"/>
    </row>
    <row r="523" spans="1:16" s="1" customFormat="1" ht="25.5" x14ac:dyDescent="0.2">
      <c r="A523" s="1" t="s">
        <v>1385</v>
      </c>
      <c r="B523" s="1" t="s">
        <v>1386</v>
      </c>
      <c r="C523" s="1" t="s">
        <v>1397</v>
      </c>
      <c r="D523" s="130" t="s">
        <v>889</v>
      </c>
      <c r="E523" s="131" t="s">
        <v>890</v>
      </c>
      <c r="F523" s="131" t="s">
        <v>891</v>
      </c>
      <c r="G523" s="132" t="s">
        <v>107</v>
      </c>
      <c r="H523" s="133">
        <v>6.2700000000000006E-2</v>
      </c>
      <c r="I523" s="133"/>
      <c r="J523" s="129"/>
      <c r="K523" s="129"/>
      <c r="L523" s="129"/>
      <c r="M523" s="129"/>
      <c r="N523" s="129"/>
      <c r="O523" s="129"/>
      <c r="P523" s="129"/>
    </row>
    <row r="524" spans="1:16" s="14" customFormat="1" x14ac:dyDescent="0.2">
      <c r="A524" s="1" t="s">
        <v>1385</v>
      </c>
      <c r="B524" s="1" t="s">
        <v>1386</v>
      </c>
      <c r="C524" s="1" t="s">
        <v>24</v>
      </c>
      <c r="D524" s="134" t="s">
        <v>892</v>
      </c>
      <c r="E524" s="135" t="s">
        <v>18</v>
      </c>
      <c r="F524" s="136" t="s">
        <v>23</v>
      </c>
      <c r="G524" s="135" t="s">
        <v>24</v>
      </c>
      <c r="H524" s="137">
        <v>15.79</v>
      </c>
      <c r="I524" s="137">
        <v>0.99003300000000005</v>
      </c>
      <c r="J524" s="129">
        <v>22914.53</v>
      </c>
      <c r="K524" s="129">
        <f t="shared" ref="K524:K533" si="36">+J524*I524</f>
        <v>22686.140879490002</v>
      </c>
      <c r="L524" s="129">
        <f>+I524*J524</f>
        <v>22686.140879490002</v>
      </c>
      <c r="M524" s="129"/>
      <c r="N524" s="129"/>
      <c r="O524" s="129"/>
      <c r="P524" s="129"/>
    </row>
    <row r="525" spans="1:16" s="15" customFormat="1" ht="24" x14ac:dyDescent="0.2">
      <c r="A525" s="1" t="s">
        <v>1385</v>
      </c>
      <c r="B525" s="1" t="s">
        <v>1386</v>
      </c>
      <c r="C525" s="1" t="s">
        <v>28</v>
      </c>
      <c r="D525" s="138" t="s">
        <v>893</v>
      </c>
      <c r="E525" s="139" t="s">
        <v>876</v>
      </c>
      <c r="F525" s="140" t="s">
        <v>877</v>
      </c>
      <c r="G525" s="139" t="s">
        <v>28</v>
      </c>
      <c r="H525" s="141">
        <v>0.13</v>
      </c>
      <c r="I525" s="141">
        <v>8.1510000000000003E-3</v>
      </c>
      <c r="J525" s="129">
        <v>239461</v>
      </c>
      <c r="K525" s="129">
        <f t="shared" si="36"/>
        <v>1951.8466110000002</v>
      </c>
      <c r="L525" s="129"/>
      <c r="M525" s="129">
        <f>+J525*I525</f>
        <v>1951.8466110000002</v>
      </c>
      <c r="N525" s="129"/>
      <c r="O525" s="129"/>
      <c r="P525" s="129"/>
    </row>
    <row r="526" spans="1:16" s="15" customFormat="1" ht="24" x14ac:dyDescent="0.2">
      <c r="A526" s="1" t="s">
        <v>1385</v>
      </c>
      <c r="B526" s="1" t="s">
        <v>1386</v>
      </c>
      <c r="C526" s="1" t="s">
        <v>28</v>
      </c>
      <c r="D526" s="138" t="s">
        <v>894</v>
      </c>
      <c r="E526" s="139" t="s">
        <v>683</v>
      </c>
      <c r="F526" s="140" t="s">
        <v>684</v>
      </c>
      <c r="G526" s="139" t="s">
        <v>28</v>
      </c>
      <c r="H526" s="141">
        <v>0.57999999999999996</v>
      </c>
      <c r="I526" s="141">
        <v>3.6366000000000002E-2</v>
      </c>
      <c r="J526" s="129">
        <v>16353</v>
      </c>
      <c r="K526" s="129">
        <f t="shared" si="36"/>
        <v>594.69319800000005</v>
      </c>
      <c r="L526" s="129"/>
      <c r="M526" s="129">
        <f>+J526*I526</f>
        <v>594.69319800000005</v>
      </c>
      <c r="N526" s="129"/>
      <c r="O526" s="129"/>
      <c r="P526" s="129"/>
    </row>
    <row r="527" spans="1:16" s="15" customFormat="1" x14ac:dyDescent="0.2">
      <c r="A527" s="1" t="s">
        <v>1385</v>
      </c>
      <c r="B527" s="1" t="s">
        <v>1386</v>
      </c>
      <c r="C527" s="1" t="s">
        <v>28</v>
      </c>
      <c r="D527" s="138" t="s">
        <v>895</v>
      </c>
      <c r="E527" s="139" t="s">
        <v>30</v>
      </c>
      <c r="F527" s="140" t="s">
        <v>31</v>
      </c>
      <c r="G527" s="139" t="s">
        <v>28</v>
      </c>
      <c r="H527" s="141">
        <v>0.19</v>
      </c>
      <c r="I527" s="141">
        <v>1.1913E-2</v>
      </c>
      <c r="J527" s="129">
        <v>106655</v>
      </c>
      <c r="K527" s="129">
        <f t="shared" si="36"/>
        <v>1270.581015</v>
      </c>
      <c r="L527" s="129"/>
      <c r="M527" s="129">
        <f>+J527*I527</f>
        <v>1270.581015</v>
      </c>
      <c r="N527" s="129"/>
      <c r="O527" s="129"/>
      <c r="P527" s="129"/>
    </row>
    <row r="528" spans="1:16" s="15" customFormat="1" x14ac:dyDescent="0.2">
      <c r="A528" s="1" t="s">
        <v>1385</v>
      </c>
      <c r="B528" s="1" t="s">
        <v>1386</v>
      </c>
      <c r="C528" s="1" t="s">
        <v>28</v>
      </c>
      <c r="D528" s="138" t="s">
        <v>896</v>
      </c>
      <c r="E528" s="139" t="s">
        <v>687</v>
      </c>
      <c r="F528" s="140" t="s">
        <v>688</v>
      </c>
      <c r="G528" s="139" t="s">
        <v>28</v>
      </c>
      <c r="H528" s="141">
        <v>0.67</v>
      </c>
      <c r="I528" s="141">
        <v>4.2008999999999998E-2</v>
      </c>
      <c r="J528" s="129">
        <v>1586</v>
      </c>
      <c r="K528" s="129">
        <f t="shared" si="36"/>
        <v>66.626273999999995</v>
      </c>
      <c r="L528" s="129"/>
      <c r="M528" s="129">
        <f>+J528*I528</f>
        <v>66.626273999999995</v>
      </c>
      <c r="N528" s="129"/>
      <c r="O528" s="129"/>
      <c r="P528" s="129"/>
    </row>
    <row r="529" spans="1:16" s="16" customFormat="1" x14ac:dyDescent="0.2">
      <c r="A529" s="1" t="s">
        <v>1385</v>
      </c>
      <c r="B529" s="1" t="s">
        <v>1386</v>
      </c>
      <c r="C529" s="1" t="s">
        <v>1399</v>
      </c>
      <c r="D529" s="142" t="s">
        <v>897</v>
      </c>
      <c r="E529" s="143" t="s">
        <v>690</v>
      </c>
      <c r="F529" s="144" t="s">
        <v>691</v>
      </c>
      <c r="G529" s="143" t="s">
        <v>420</v>
      </c>
      <c r="H529" s="146">
        <v>0.5</v>
      </c>
      <c r="I529" s="146">
        <v>3.1350000000000003E-2</v>
      </c>
      <c r="J529" s="129">
        <v>4210</v>
      </c>
      <c r="K529" s="129">
        <f t="shared" si="36"/>
        <v>131.98350000000002</v>
      </c>
      <c r="L529" s="129"/>
      <c r="M529" s="129"/>
      <c r="N529" s="129">
        <f>+I529*J529</f>
        <v>131.98350000000002</v>
      </c>
      <c r="O529" s="129"/>
      <c r="P529" s="129"/>
    </row>
    <row r="530" spans="1:16" s="16" customFormat="1" x14ac:dyDescent="0.2">
      <c r="A530" s="1" t="s">
        <v>1385</v>
      </c>
      <c r="B530" s="1" t="s">
        <v>1386</v>
      </c>
      <c r="C530" s="1" t="s">
        <v>1399</v>
      </c>
      <c r="D530" s="142" t="s">
        <v>898</v>
      </c>
      <c r="E530" s="143" t="s">
        <v>693</v>
      </c>
      <c r="F530" s="144" t="s">
        <v>694</v>
      </c>
      <c r="G530" s="143" t="s">
        <v>107</v>
      </c>
      <c r="H530" s="146">
        <v>2.5999999999999999E-3</v>
      </c>
      <c r="I530" s="146">
        <v>1.63E-4</v>
      </c>
      <c r="J530" s="129">
        <v>11250000</v>
      </c>
      <c r="K530" s="129">
        <f t="shared" si="36"/>
        <v>1833.75</v>
      </c>
      <c r="L530" s="129"/>
      <c r="M530" s="129"/>
      <c r="N530" s="129">
        <f>+I530*J530</f>
        <v>1833.75</v>
      </c>
      <c r="O530" s="129"/>
      <c r="P530" s="129"/>
    </row>
    <row r="531" spans="1:16" s="16" customFormat="1" x14ac:dyDescent="0.2">
      <c r="A531" s="1" t="s">
        <v>1385</v>
      </c>
      <c r="B531" s="1" t="s">
        <v>1386</v>
      </c>
      <c r="C531" s="1" t="s">
        <v>1399</v>
      </c>
      <c r="D531" s="142" t="s">
        <v>899</v>
      </c>
      <c r="E531" s="143" t="s">
        <v>885</v>
      </c>
      <c r="F531" s="144" t="s">
        <v>886</v>
      </c>
      <c r="G531" s="143" t="s">
        <v>42</v>
      </c>
      <c r="H531" s="146">
        <v>0.03</v>
      </c>
      <c r="I531" s="146">
        <v>1.8810000000000001E-3</v>
      </c>
      <c r="J531" s="129">
        <v>15000</v>
      </c>
      <c r="K531" s="129">
        <f t="shared" si="36"/>
        <v>28.215</v>
      </c>
      <c r="L531" s="129"/>
      <c r="M531" s="129"/>
      <c r="N531" s="129">
        <f>+I531*J531</f>
        <v>28.215</v>
      </c>
      <c r="O531" s="129"/>
      <c r="P531" s="129"/>
    </row>
    <row r="532" spans="1:16" s="16" customFormat="1" x14ac:dyDescent="0.2">
      <c r="A532" s="1" t="s">
        <v>1385</v>
      </c>
      <c r="B532" s="1" t="s">
        <v>1386</v>
      </c>
      <c r="C532" s="1" t="s">
        <v>1399</v>
      </c>
      <c r="D532" s="142" t="s">
        <v>900</v>
      </c>
      <c r="E532" s="143" t="s">
        <v>696</v>
      </c>
      <c r="F532" s="144" t="s">
        <v>486</v>
      </c>
      <c r="G532" s="143" t="s">
        <v>250</v>
      </c>
      <c r="H532" s="146">
        <v>0.15</v>
      </c>
      <c r="I532" s="146">
        <v>9.4050000000000002E-3</v>
      </c>
      <c r="J532" s="129">
        <v>2500</v>
      </c>
      <c r="K532" s="129">
        <f t="shared" si="36"/>
        <v>23.512499999999999</v>
      </c>
      <c r="L532" s="129"/>
      <c r="M532" s="129"/>
      <c r="N532" s="129">
        <f>+I532*J532</f>
        <v>23.512499999999999</v>
      </c>
      <c r="O532" s="129"/>
      <c r="P532" s="129"/>
    </row>
    <row r="533" spans="1:16" s="16" customFormat="1" x14ac:dyDescent="0.2">
      <c r="A533" s="1" t="s">
        <v>1385</v>
      </c>
      <c r="B533" s="1" t="s">
        <v>1386</v>
      </c>
      <c r="C533" s="1" t="s">
        <v>1399</v>
      </c>
      <c r="D533" s="142" t="s">
        <v>901</v>
      </c>
      <c r="E533" s="143" t="s">
        <v>698</v>
      </c>
      <c r="F533" s="144" t="s">
        <v>699</v>
      </c>
      <c r="G533" s="143" t="s">
        <v>107</v>
      </c>
      <c r="H533" s="145">
        <v>1</v>
      </c>
      <c r="I533" s="146">
        <v>6.2700000000000006E-2</v>
      </c>
      <c r="J533" s="129">
        <v>9000000</v>
      </c>
      <c r="K533" s="129">
        <f t="shared" si="36"/>
        <v>564300</v>
      </c>
      <c r="L533" s="129"/>
      <c r="M533" s="129"/>
      <c r="N533" s="129">
        <f>+I533*J533</f>
        <v>564300</v>
      </c>
      <c r="O533" s="129"/>
      <c r="P533" s="129"/>
    </row>
    <row r="534" spans="1:16" s="1" customFormat="1" ht="25.5" x14ac:dyDescent="0.2">
      <c r="A534" s="1" t="s">
        <v>1385</v>
      </c>
      <c r="B534" s="1" t="s">
        <v>1386</v>
      </c>
      <c r="C534" s="1" t="s">
        <v>1397</v>
      </c>
      <c r="D534" s="130" t="s">
        <v>902</v>
      </c>
      <c r="E534" s="131" t="s">
        <v>903</v>
      </c>
      <c r="F534" s="131" t="s">
        <v>904</v>
      </c>
      <c r="G534" s="132" t="s">
        <v>21</v>
      </c>
      <c r="H534" s="133">
        <v>4.9799999999999997E-2</v>
      </c>
      <c r="I534" s="133"/>
      <c r="J534" s="129"/>
      <c r="K534" s="129"/>
      <c r="L534" s="129"/>
      <c r="M534" s="129"/>
      <c r="N534" s="129"/>
      <c r="O534" s="129"/>
      <c r="P534" s="129"/>
    </row>
    <row r="535" spans="1:16" s="14" customFormat="1" x14ac:dyDescent="0.2">
      <c r="A535" s="1" t="s">
        <v>1385</v>
      </c>
      <c r="B535" s="1" t="s">
        <v>1386</v>
      </c>
      <c r="C535" s="1" t="s">
        <v>24</v>
      </c>
      <c r="D535" s="134" t="s">
        <v>905</v>
      </c>
      <c r="E535" s="135" t="s">
        <v>18</v>
      </c>
      <c r="F535" s="136" t="s">
        <v>23</v>
      </c>
      <c r="G535" s="135" t="s">
        <v>24</v>
      </c>
      <c r="H535" s="137">
        <v>5.31</v>
      </c>
      <c r="I535" s="137">
        <v>0.26443800000000001</v>
      </c>
      <c r="J535" s="129">
        <v>22914.53</v>
      </c>
      <c r="K535" s="129">
        <f>+J535*I535</f>
        <v>6059.4724841400002</v>
      </c>
      <c r="L535" s="129">
        <f>+I535*J535</f>
        <v>6059.4724841400002</v>
      </c>
      <c r="M535" s="129"/>
      <c r="N535" s="129"/>
      <c r="O535" s="129"/>
      <c r="P535" s="129"/>
    </row>
    <row r="536" spans="1:16" s="15" customFormat="1" x14ac:dyDescent="0.2">
      <c r="A536" s="1" t="s">
        <v>1385</v>
      </c>
      <c r="B536" s="1" t="s">
        <v>1386</v>
      </c>
      <c r="C536" s="1" t="s">
        <v>28</v>
      </c>
      <c r="D536" s="138" t="s">
        <v>906</v>
      </c>
      <c r="E536" s="139" t="s">
        <v>193</v>
      </c>
      <c r="F536" s="140" t="s">
        <v>31</v>
      </c>
      <c r="G536" s="139" t="s">
        <v>28</v>
      </c>
      <c r="H536" s="141">
        <v>0.01</v>
      </c>
      <c r="I536" s="141">
        <v>4.9799999999999996E-4</v>
      </c>
      <c r="J536" s="129">
        <v>106655</v>
      </c>
      <c r="K536" s="129">
        <f>+J536*I536</f>
        <v>53.114189999999994</v>
      </c>
      <c r="L536" s="129"/>
      <c r="M536" s="129">
        <f>+J536*I536</f>
        <v>53.114189999999994</v>
      </c>
      <c r="N536" s="129"/>
      <c r="O536" s="129"/>
      <c r="P536" s="129"/>
    </row>
    <row r="537" spans="1:16" s="15" customFormat="1" ht="24" x14ac:dyDescent="0.2">
      <c r="A537" s="1" t="s">
        <v>1385</v>
      </c>
      <c r="B537" s="1" t="s">
        <v>1386</v>
      </c>
      <c r="C537" s="1" t="s">
        <v>28</v>
      </c>
      <c r="D537" s="138" t="s">
        <v>907</v>
      </c>
      <c r="E537" s="139" t="s">
        <v>908</v>
      </c>
      <c r="F537" s="140" t="s">
        <v>909</v>
      </c>
      <c r="G537" s="139" t="s">
        <v>28</v>
      </c>
      <c r="H537" s="141">
        <v>1.1200000000000001</v>
      </c>
      <c r="I537" s="141">
        <v>5.5775999999999999E-2</v>
      </c>
      <c r="J537" s="129">
        <v>6265</v>
      </c>
      <c r="K537" s="129">
        <f>+J537*I537</f>
        <v>349.43664000000001</v>
      </c>
      <c r="L537" s="129"/>
      <c r="M537" s="129">
        <f>+J537*I537</f>
        <v>349.43664000000001</v>
      </c>
      <c r="N537" s="129"/>
      <c r="O537" s="129"/>
      <c r="P537" s="129"/>
    </row>
    <row r="538" spans="1:16" s="16" customFormat="1" x14ac:dyDescent="0.2">
      <c r="A538" s="1" t="s">
        <v>1385</v>
      </c>
      <c r="B538" s="1" t="s">
        <v>1386</v>
      </c>
      <c r="C538" s="1" t="s">
        <v>1399</v>
      </c>
      <c r="D538" s="142" t="s">
        <v>910</v>
      </c>
      <c r="E538" s="143" t="s">
        <v>911</v>
      </c>
      <c r="F538" s="144" t="s">
        <v>912</v>
      </c>
      <c r="G538" s="143" t="s">
        <v>107</v>
      </c>
      <c r="H538" s="146">
        <v>1.2E-2</v>
      </c>
      <c r="I538" s="146">
        <v>5.9800000000000001E-4</v>
      </c>
      <c r="J538" s="129">
        <v>18482000</v>
      </c>
      <c r="K538" s="129">
        <f>+J538*I538</f>
        <v>11052.236000000001</v>
      </c>
      <c r="L538" s="129"/>
      <c r="M538" s="129"/>
      <c r="N538" s="129">
        <f>+I538*J538</f>
        <v>11052.236000000001</v>
      </c>
      <c r="O538" s="129"/>
      <c r="P538" s="129"/>
    </row>
    <row r="539" spans="1:16" s="1" customFormat="1" ht="25.5" x14ac:dyDescent="0.2">
      <c r="A539" s="1" t="s">
        <v>1385</v>
      </c>
      <c r="B539" s="1" t="s">
        <v>1386</v>
      </c>
      <c r="C539" s="1" t="s">
        <v>1397</v>
      </c>
      <c r="D539" s="130" t="s">
        <v>913</v>
      </c>
      <c r="E539" s="131" t="s">
        <v>914</v>
      </c>
      <c r="F539" s="131" t="s">
        <v>915</v>
      </c>
      <c r="G539" s="132" t="s">
        <v>21</v>
      </c>
      <c r="H539" s="133">
        <v>4.9799999999999997E-2</v>
      </c>
      <c r="I539" s="133"/>
      <c r="J539" s="129"/>
      <c r="K539" s="129"/>
      <c r="L539" s="129"/>
      <c r="M539" s="129"/>
      <c r="N539" s="129"/>
      <c r="O539" s="129"/>
      <c r="P539" s="129"/>
    </row>
    <row r="540" spans="1:16" s="14" customFormat="1" x14ac:dyDescent="0.2">
      <c r="A540" s="1" t="s">
        <v>1385</v>
      </c>
      <c r="B540" s="1" t="s">
        <v>1386</v>
      </c>
      <c r="C540" s="1" t="s">
        <v>24</v>
      </c>
      <c r="D540" s="134" t="s">
        <v>916</v>
      </c>
      <c r="E540" s="135" t="s">
        <v>18</v>
      </c>
      <c r="F540" s="136" t="s">
        <v>23</v>
      </c>
      <c r="G540" s="135" t="s">
        <v>24</v>
      </c>
      <c r="H540" s="137">
        <v>7.66</v>
      </c>
      <c r="I540" s="137">
        <v>0.38146799999999997</v>
      </c>
      <c r="J540" s="129">
        <v>22914.53</v>
      </c>
      <c r="K540" s="129">
        <f>+J540*I540</f>
        <v>8741.1599300399994</v>
      </c>
      <c r="L540" s="129">
        <f>+I540*J540</f>
        <v>8741.1599300399994</v>
      </c>
      <c r="M540" s="129"/>
      <c r="N540" s="129"/>
      <c r="O540" s="129"/>
      <c r="P540" s="129"/>
    </row>
    <row r="541" spans="1:16" s="15" customFormat="1" x14ac:dyDescent="0.2">
      <c r="A541" s="1" t="s">
        <v>1385</v>
      </c>
      <c r="B541" s="1" t="s">
        <v>1386</v>
      </c>
      <c r="C541" s="1" t="s">
        <v>28</v>
      </c>
      <c r="D541" s="138" t="s">
        <v>917</v>
      </c>
      <c r="E541" s="139" t="s">
        <v>193</v>
      </c>
      <c r="F541" s="140" t="s">
        <v>31</v>
      </c>
      <c r="G541" s="139" t="s">
        <v>28</v>
      </c>
      <c r="H541" s="141">
        <v>0.02</v>
      </c>
      <c r="I541" s="141">
        <v>9.9599999999999992E-4</v>
      </c>
      <c r="J541" s="129">
        <v>106655</v>
      </c>
      <c r="K541" s="129">
        <f>+J541*I541</f>
        <v>106.22837999999999</v>
      </c>
      <c r="L541" s="129"/>
      <c r="M541" s="129">
        <f>+J541*I541</f>
        <v>106.22837999999999</v>
      </c>
      <c r="N541" s="129"/>
      <c r="O541" s="129"/>
      <c r="P541" s="129"/>
    </row>
    <row r="542" spans="1:16" s="15" customFormat="1" ht="24" x14ac:dyDescent="0.2">
      <c r="A542" s="1" t="s">
        <v>1385</v>
      </c>
      <c r="B542" s="1" t="s">
        <v>1386</v>
      </c>
      <c r="C542" s="1" t="s">
        <v>28</v>
      </c>
      <c r="D542" s="138" t="s">
        <v>918</v>
      </c>
      <c r="E542" s="139" t="s">
        <v>908</v>
      </c>
      <c r="F542" s="140" t="s">
        <v>909</v>
      </c>
      <c r="G542" s="139" t="s">
        <v>28</v>
      </c>
      <c r="H542" s="141">
        <v>1.3</v>
      </c>
      <c r="I542" s="141">
        <v>6.4740000000000006E-2</v>
      </c>
      <c r="J542" s="129">
        <v>6265</v>
      </c>
      <c r="K542" s="129">
        <f>+J542*I542</f>
        <v>405.59610000000004</v>
      </c>
      <c r="L542" s="129"/>
      <c r="M542" s="129">
        <f>+J542*I542</f>
        <v>405.59610000000004</v>
      </c>
      <c r="N542" s="129"/>
      <c r="O542" s="129"/>
      <c r="P542" s="129"/>
    </row>
    <row r="543" spans="1:16" s="16" customFormat="1" x14ac:dyDescent="0.2">
      <c r="A543" s="1" t="s">
        <v>1385</v>
      </c>
      <c r="B543" s="1" t="s">
        <v>1386</v>
      </c>
      <c r="C543" s="1" t="s">
        <v>1399</v>
      </c>
      <c r="D543" s="142" t="s">
        <v>919</v>
      </c>
      <c r="E543" s="143" t="s">
        <v>920</v>
      </c>
      <c r="F543" s="144" t="s">
        <v>921</v>
      </c>
      <c r="G543" s="143" t="s">
        <v>107</v>
      </c>
      <c r="H543" s="146">
        <v>3.7999999999999999E-2</v>
      </c>
      <c r="I543" s="146">
        <v>1.892E-3</v>
      </c>
      <c r="J543" s="129">
        <v>27312000</v>
      </c>
      <c r="K543" s="129">
        <f>+J543*I543</f>
        <v>51674.304000000004</v>
      </c>
      <c r="L543" s="129"/>
      <c r="M543" s="129"/>
      <c r="N543" s="129">
        <f>+I543*J543</f>
        <v>51674.304000000004</v>
      </c>
      <c r="O543" s="129"/>
      <c r="P543" s="129"/>
    </row>
    <row r="544" spans="1:16" s="16" customFormat="1" x14ac:dyDescent="0.2">
      <c r="A544" s="1" t="s">
        <v>1385</v>
      </c>
      <c r="B544" s="1" t="s">
        <v>1386</v>
      </c>
      <c r="C544" s="1" t="s">
        <v>1399</v>
      </c>
      <c r="D544" s="142" t="s">
        <v>922</v>
      </c>
      <c r="E544" s="143" t="s">
        <v>923</v>
      </c>
      <c r="F544" s="144" t="s">
        <v>924</v>
      </c>
      <c r="G544" s="143" t="s">
        <v>107</v>
      </c>
      <c r="H544" s="146">
        <v>2.8E-3</v>
      </c>
      <c r="I544" s="146">
        <v>1.3899999999999999E-4</v>
      </c>
      <c r="J544" s="129">
        <v>30246000</v>
      </c>
      <c r="K544" s="129">
        <f>+J544*I544</f>
        <v>4204.1939999999995</v>
      </c>
      <c r="L544" s="129"/>
      <c r="M544" s="129"/>
      <c r="N544" s="129">
        <f>+I544*J544</f>
        <v>4204.1939999999995</v>
      </c>
      <c r="O544" s="129"/>
      <c r="P544" s="129"/>
    </row>
    <row r="545" spans="1:16" s="1" customFormat="1" ht="38.25" x14ac:dyDescent="0.2">
      <c r="A545" s="1" t="s">
        <v>1385</v>
      </c>
      <c r="B545" s="1" t="s">
        <v>1386</v>
      </c>
      <c r="C545" s="1" t="s">
        <v>1397</v>
      </c>
      <c r="D545" s="130" t="s">
        <v>925</v>
      </c>
      <c r="E545" s="131" t="s">
        <v>926</v>
      </c>
      <c r="F545" s="131" t="s">
        <v>927</v>
      </c>
      <c r="G545" s="132" t="s">
        <v>21</v>
      </c>
      <c r="H545" s="133">
        <v>5.8000000000000003E-2</v>
      </c>
      <c r="I545" s="133"/>
      <c r="J545" s="129"/>
      <c r="K545" s="129"/>
      <c r="L545" s="129"/>
      <c r="M545" s="129"/>
      <c r="N545" s="129"/>
      <c r="O545" s="129"/>
      <c r="P545" s="129"/>
    </row>
    <row r="546" spans="1:16" s="14" customFormat="1" x14ac:dyDescent="0.2">
      <c r="A546" s="1" t="s">
        <v>1385</v>
      </c>
      <c r="B546" s="1" t="s">
        <v>1386</v>
      </c>
      <c r="C546" s="1" t="s">
        <v>24</v>
      </c>
      <c r="D546" s="134" t="s">
        <v>928</v>
      </c>
      <c r="E546" s="135" t="s">
        <v>18</v>
      </c>
      <c r="F546" s="136" t="s">
        <v>23</v>
      </c>
      <c r="G546" s="135" t="s">
        <v>24</v>
      </c>
      <c r="H546" s="137">
        <v>38.53</v>
      </c>
      <c r="I546" s="137">
        <v>2.2347000000000001</v>
      </c>
      <c r="J546" s="129">
        <v>22914.53</v>
      </c>
      <c r="K546" s="129">
        <f t="shared" ref="K546:K552" si="37">+J546*I546</f>
        <v>51207.100190999998</v>
      </c>
      <c r="L546" s="129">
        <f>+I546*J546</f>
        <v>51207.100190999998</v>
      </c>
      <c r="M546" s="129"/>
      <c r="N546" s="129"/>
      <c r="O546" s="129"/>
      <c r="P546" s="129"/>
    </row>
    <row r="547" spans="1:16" s="15" customFormat="1" x14ac:dyDescent="0.2">
      <c r="A547" s="1" t="s">
        <v>1385</v>
      </c>
      <c r="B547" s="1" t="s">
        <v>1386</v>
      </c>
      <c r="C547" s="1" t="s">
        <v>28</v>
      </c>
      <c r="D547" s="138" t="s">
        <v>929</v>
      </c>
      <c r="E547" s="139" t="s">
        <v>213</v>
      </c>
      <c r="F547" s="140" t="s">
        <v>214</v>
      </c>
      <c r="G547" s="139" t="s">
        <v>28</v>
      </c>
      <c r="H547" s="141">
        <v>2.41</v>
      </c>
      <c r="I547" s="141">
        <v>0.13977999999999999</v>
      </c>
      <c r="J547" s="129">
        <v>1399</v>
      </c>
      <c r="K547" s="129">
        <f t="shared" si="37"/>
        <v>195.55221999999998</v>
      </c>
      <c r="L547" s="129"/>
      <c r="M547" s="129">
        <f>+J547*I547</f>
        <v>195.55221999999998</v>
      </c>
      <c r="N547" s="129"/>
      <c r="O547" s="129"/>
      <c r="P547" s="129"/>
    </row>
    <row r="548" spans="1:16" s="15" customFormat="1" x14ac:dyDescent="0.2">
      <c r="A548" s="1" t="s">
        <v>1385</v>
      </c>
      <c r="B548" s="1" t="s">
        <v>1386</v>
      </c>
      <c r="C548" s="1" t="s">
        <v>28</v>
      </c>
      <c r="D548" s="138" t="s">
        <v>930</v>
      </c>
      <c r="E548" s="139" t="s">
        <v>30</v>
      </c>
      <c r="F548" s="140" t="s">
        <v>31</v>
      </c>
      <c r="G548" s="139" t="s">
        <v>28</v>
      </c>
      <c r="H548" s="141">
        <v>0.4</v>
      </c>
      <c r="I548" s="141">
        <v>2.3199999999999998E-2</v>
      </c>
      <c r="J548" s="129">
        <v>106655</v>
      </c>
      <c r="K548" s="129">
        <f t="shared" si="37"/>
        <v>2474.3959999999997</v>
      </c>
      <c r="L548" s="129"/>
      <c r="M548" s="129">
        <f>+J548*I548</f>
        <v>2474.3959999999997</v>
      </c>
      <c r="N548" s="129"/>
      <c r="O548" s="129"/>
      <c r="P548" s="129"/>
    </row>
    <row r="549" spans="1:16" s="16" customFormat="1" x14ac:dyDescent="0.2">
      <c r="A549" s="1" t="s">
        <v>1385</v>
      </c>
      <c r="B549" s="1" t="s">
        <v>1386</v>
      </c>
      <c r="C549" s="1" t="s">
        <v>1399</v>
      </c>
      <c r="D549" s="142" t="s">
        <v>931</v>
      </c>
      <c r="E549" s="143" t="s">
        <v>932</v>
      </c>
      <c r="F549" s="144" t="s">
        <v>933</v>
      </c>
      <c r="G549" s="143" t="s">
        <v>42</v>
      </c>
      <c r="H549" s="145">
        <v>645</v>
      </c>
      <c r="I549" s="146">
        <v>37.409999999999997</v>
      </c>
      <c r="J549" s="129">
        <v>200</v>
      </c>
      <c r="K549" s="129">
        <f t="shared" si="37"/>
        <v>7481.9999999999991</v>
      </c>
      <c r="L549" s="129"/>
      <c r="M549" s="129"/>
      <c r="N549" s="129">
        <f>+I549*J549</f>
        <v>7481.9999999999991</v>
      </c>
      <c r="O549" s="129"/>
      <c r="P549" s="129"/>
    </row>
    <row r="550" spans="1:16" s="16" customFormat="1" x14ac:dyDescent="0.2">
      <c r="A550" s="1" t="s">
        <v>1385</v>
      </c>
      <c r="B550" s="1" t="s">
        <v>1386</v>
      </c>
      <c r="C550" s="1" t="s">
        <v>1399</v>
      </c>
      <c r="D550" s="142" t="s">
        <v>934</v>
      </c>
      <c r="E550" s="143" t="s">
        <v>935</v>
      </c>
      <c r="F550" s="144" t="s">
        <v>936</v>
      </c>
      <c r="G550" s="143" t="s">
        <v>42</v>
      </c>
      <c r="H550" s="145">
        <v>81</v>
      </c>
      <c r="I550" s="146">
        <v>4.6980000000000004</v>
      </c>
      <c r="J550" s="129">
        <v>250</v>
      </c>
      <c r="K550" s="129">
        <f t="shared" si="37"/>
        <v>1174.5</v>
      </c>
      <c r="L550" s="129"/>
      <c r="M550" s="129"/>
      <c r="N550" s="129">
        <f>+I550*J550</f>
        <v>1174.5</v>
      </c>
      <c r="O550" s="129"/>
      <c r="P550" s="129"/>
    </row>
    <row r="551" spans="1:16" s="16" customFormat="1" ht="24" x14ac:dyDescent="0.2">
      <c r="A551" s="1" t="s">
        <v>1385</v>
      </c>
      <c r="B551" s="1" t="s">
        <v>1386</v>
      </c>
      <c r="C551" s="1" t="s">
        <v>1399</v>
      </c>
      <c r="D551" s="142" t="s">
        <v>937</v>
      </c>
      <c r="E551" s="143" t="s">
        <v>938</v>
      </c>
      <c r="F551" s="144" t="s">
        <v>939</v>
      </c>
      <c r="G551" s="143" t="s">
        <v>69</v>
      </c>
      <c r="H551" s="145">
        <v>16</v>
      </c>
      <c r="I551" s="146">
        <v>0.92800000000000005</v>
      </c>
      <c r="J551" s="129">
        <v>500</v>
      </c>
      <c r="K551" s="129">
        <f t="shared" si="37"/>
        <v>464</v>
      </c>
      <c r="L551" s="129"/>
      <c r="M551" s="129"/>
      <c r="N551" s="129">
        <f>+I551*J551</f>
        <v>464</v>
      </c>
      <c r="O551" s="129"/>
      <c r="P551" s="129"/>
    </row>
    <row r="552" spans="1:16" s="16" customFormat="1" ht="24" x14ac:dyDescent="0.2">
      <c r="A552" s="1" t="s">
        <v>1385</v>
      </c>
      <c r="B552" s="1" t="s">
        <v>1386</v>
      </c>
      <c r="C552" s="1" t="s">
        <v>1399</v>
      </c>
      <c r="D552" s="142" t="s">
        <v>940</v>
      </c>
      <c r="E552" s="143" t="s">
        <v>941</v>
      </c>
      <c r="F552" s="144" t="s">
        <v>942</v>
      </c>
      <c r="G552" s="143" t="s">
        <v>38</v>
      </c>
      <c r="H552" s="145">
        <v>106</v>
      </c>
      <c r="I552" s="146">
        <v>6.1479999999999997</v>
      </c>
      <c r="J552" s="129">
        <v>75450</v>
      </c>
      <c r="K552" s="129">
        <f t="shared" si="37"/>
        <v>463866.6</v>
      </c>
      <c r="L552" s="129"/>
      <c r="M552" s="129"/>
      <c r="N552" s="129">
        <f>+I552*J552</f>
        <v>463866.6</v>
      </c>
      <c r="O552" s="129"/>
      <c r="P552" s="129"/>
    </row>
    <row r="553" spans="1:16" s="1" customFormat="1" ht="38.25" x14ac:dyDescent="0.2">
      <c r="A553" s="1" t="s">
        <v>1385</v>
      </c>
      <c r="B553" s="1" t="s">
        <v>1386</v>
      </c>
      <c r="C553" s="1" t="s">
        <v>1397</v>
      </c>
      <c r="D553" s="130" t="s">
        <v>943</v>
      </c>
      <c r="E553" s="131" t="s">
        <v>944</v>
      </c>
      <c r="F553" s="131" t="s">
        <v>945</v>
      </c>
      <c r="G553" s="132" t="s">
        <v>21</v>
      </c>
      <c r="H553" s="133">
        <v>9.6500000000000002E-2</v>
      </c>
      <c r="I553" s="133"/>
      <c r="J553" s="129"/>
      <c r="K553" s="129"/>
      <c r="L553" s="129"/>
      <c r="M553" s="129"/>
      <c r="N553" s="129"/>
      <c r="O553" s="129"/>
      <c r="P553" s="129"/>
    </row>
    <row r="554" spans="1:16" s="14" customFormat="1" x14ac:dyDescent="0.2">
      <c r="A554" s="1" t="s">
        <v>1385</v>
      </c>
      <c r="B554" s="1" t="s">
        <v>1386</v>
      </c>
      <c r="C554" s="1" t="s">
        <v>24</v>
      </c>
      <c r="D554" s="134" t="s">
        <v>946</v>
      </c>
      <c r="E554" s="135" t="s">
        <v>18</v>
      </c>
      <c r="F554" s="136" t="s">
        <v>23</v>
      </c>
      <c r="G554" s="135" t="s">
        <v>24</v>
      </c>
      <c r="H554" s="137">
        <v>112.75</v>
      </c>
      <c r="I554" s="137">
        <v>10.8804</v>
      </c>
      <c r="J554" s="129">
        <v>22914.53</v>
      </c>
      <c r="K554" s="129">
        <f>+J554*I554</f>
        <v>249319.25221199999</v>
      </c>
      <c r="L554" s="129">
        <f>+I554*J554</f>
        <v>249319.25221199999</v>
      </c>
      <c r="M554" s="129"/>
      <c r="N554" s="129"/>
      <c r="O554" s="129"/>
      <c r="P554" s="129"/>
    </row>
    <row r="555" spans="1:16" s="15" customFormat="1" x14ac:dyDescent="0.2">
      <c r="A555" s="1" t="s">
        <v>1385</v>
      </c>
      <c r="B555" s="1" t="s">
        <v>1386</v>
      </c>
      <c r="C555" s="1" t="s">
        <v>28</v>
      </c>
      <c r="D555" s="138" t="s">
        <v>947</v>
      </c>
      <c r="E555" s="139" t="s">
        <v>30</v>
      </c>
      <c r="F555" s="140" t="s">
        <v>31</v>
      </c>
      <c r="G555" s="139" t="s">
        <v>28</v>
      </c>
      <c r="H555" s="141">
        <v>7.0000000000000007E-2</v>
      </c>
      <c r="I555" s="141">
        <v>6.7549999999999997E-3</v>
      </c>
      <c r="J555" s="129">
        <v>106655</v>
      </c>
      <c r="K555" s="129">
        <f>+J555*I555</f>
        <v>720.45452499999999</v>
      </c>
      <c r="L555" s="129"/>
      <c r="M555" s="129">
        <f>+J555*I555</f>
        <v>720.45452499999999</v>
      </c>
      <c r="N555" s="129"/>
      <c r="O555" s="129"/>
      <c r="P555" s="129"/>
    </row>
    <row r="556" spans="1:16" s="16" customFormat="1" x14ac:dyDescent="0.2">
      <c r="A556" s="1" t="s">
        <v>1385</v>
      </c>
      <c r="B556" s="1" t="s">
        <v>1386</v>
      </c>
      <c r="C556" s="1" t="s">
        <v>1399</v>
      </c>
      <c r="D556" s="142" t="s">
        <v>948</v>
      </c>
      <c r="E556" s="143" t="s">
        <v>155</v>
      </c>
      <c r="F556" s="144" t="s">
        <v>156</v>
      </c>
      <c r="G556" s="143" t="s">
        <v>107</v>
      </c>
      <c r="H556" s="146">
        <v>4.0000000000000001E-3</v>
      </c>
      <c r="I556" s="146">
        <v>3.86E-4</v>
      </c>
      <c r="J556" s="129">
        <v>9500000</v>
      </c>
      <c r="K556" s="129">
        <f>+J556*I556</f>
        <v>3667</v>
      </c>
      <c r="L556" s="129"/>
      <c r="M556" s="129"/>
      <c r="N556" s="129">
        <f>+I556*J556</f>
        <v>3667</v>
      </c>
      <c r="O556" s="129"/>
      <c r="P556" s="129"/>
    </row>
    <row r="557" spans="1:16" s="16" customFormat="1" x14ac:dyDescent="0.2">
      <c r="A557" s="1" t="s">
        <v>1385</v>
      </c>
      <c r="B557" s="1" t="s">
        <v>1386</v>
      </c>
      <c r="C557" s="1" t="s">
        <v>1399</v>
      </c>
      <c r="D557" s="142" t="s">
        <v>949</v>
      </c>
      <c r="E557" s="143" t="s">
        <v>950</v>
      </c>
      <c r="F557" s="144" t="s">
        <v>951</v>
      </c>
      <c r="G557" s="143" t="s">
        <v>107</v>
      </c>
      <c r="H557" s="146">
        <v>1.2E-2</v>
      </c>
      <c r="I557" s="146">
        <v>1.158E-3</v>
      </c>
      <c r="J557" s="129">
        <v>9500000</v>
      </c>
      <c r="K557" s="129">
        <f>+J557*I557</f>
        <v>11001</v>
      </c>
      <c r="L557" s="129"/>
      <c r="M557" s="129"/>
      <c r="N557" s="129">
        <f>+I557*J557</f>
        <v>11001</v>
      </c>
      <c r="O557" s="129"/>
      <c r="P557" s="129"/>
    </row>
    <row r="558" spans="1:16" s="1" customFormat="1" x14ac:dyDescent="0.2">
      <c r="A558" s="1" t="s">
        <v>1385</v>
      </c>
      <c r="B558" s="1" t="s">
        <v>1386</v>
      </c>
      <c r="C558" s="1" t="s">
        <v>1399</v>
      </c>
      <c r="D558" s="130" t="s">
        <v>952</v>
      </c>
      <c r="E558" s="131" t="s">
        <v>953</v>
      </c>
      <c r="F558" s="131" t="s">
        <v>954</v>
      </c>
      <c r="G558" s="132" t="s">
        <v>38</v>
      </c>
      <c r="H558" s="133">
        <v>9.65</v>
      </c>
      <c r="I558" s="133">
        <f t="shared" ref="I558:I559" si="38">+H558</f>
        <v>9.65</v>
      </c>
      <c r="J558" s="129">
        <v>75450</v>
      </c>
      <c r="K558" s="129">
        <f t="shared" ref="K558:K559" si="39">+J558*I558</f>
        <v>728092.5</v>
      </c>
      <c r="L558" s="129"/>
      <c r="M558" s="129"/>
      <c r="N558" s="129">
        <f t="shared" ref="N558:N559" si="40">+J558*I558</f>
        <v>728092.5</v>
      </c>
      <c r="O558" s="129"/>
      <c r="P558" s="129"/>
    </row>
    <row r="559" spans="1:16" s="1" customFormat="1" x14ac:dyDescent="0.2">
      <c r="A559" s="1" t="s">
        <v>1385</v>
      </c>
      <c r="B559" s="1" t="s">
        <v>1386</v>
      </c>
      <c r="C559" s="1" t="s">
        <v>1399</v>
      </c>
      <c r="D559" s="130" t="s">
        <v>955</v>
      </c>
      <c r="E559" s="131" t="s">
        <v>956</v>
      </c>
      <c r="F559" s="131" t="s">
        <v>957</v>
      </c>
      <c r="G559" s="132" t="s">
        <v>42</v>
      </c>
      <c r="H559" s="148">
        <v>8</v>
      </c>
      <c r="I559" s="133">
        <f t="shared" si="38"/>
        <v>8</v>
      </c>
      <c r="J559" s="129">
        <v>1400</v>
      </c>
      <c r="K559" s="129">
        <f t="shared" si="39"/>
        <v>11200</v>
      </c>
      <c r="L559" s="129"/>
      <c r="M559" s="129"/>
      <c r="N559" s="129">
        <f t="shared" si="40"/>
        <v>11200</v>
      </c>
      <c r="O559" s="129"/>
      <c r="P559" s="129"/>
    </row>
    <row r="560" spans="1:16" s="1" customFormat="1" ht="25.5" x14ac:dyDescent="0.2">
      <c r="A560" s="1" t="s">
        <v>1385</v>
      </c>
      <c r="B560" s="1" t="s">
        <v>1386</v>
      </c>
      <c r="C560" s="1" t="s">
        <v>1397</v>
      </c>
      <c r="D560" s="130" t="s">
        <v>958</v>
      </c>
      <c r="E560" s="131" t="s">
        <v>959</v>
      </c>
      <c r="F560" s="131" t="s">
        <v>960</v>
      </c>
      <c r="G560" s="132" t="s">
        <v>21</v>
      </c>
      <c r="H560" s="133">
        <v>6.9599999999999995E-2</v>
      </c>
      <c r="I560" s="133"/>
      <c r="J560" s="129"/>
      <c r="K560" s="129"/>
      <c r="L560" s="129"/>
      <c r="M560" s="129"/>
      <c r="N560" s="129"/>
      <c r="O560" s="129"/>
      <c r="P560" s="129"/>
    </row>
    <row r="561" spans="1:18" s="14" customFormat="1" x14ac:dyDescent="0.2">
      <c r="A561" s="1" t="s">
        <v>1385</v>
      </c>
      <c r="B561" s="1" t="s">
        <v>1386</v>
      </c>
      <c r="C561" s="1" t="s">
        <v>24</v>
      </c>
      <c r="D561" s="134" t="s">
        <v>961</v>
      </c>
      <c r="E561" s="135" t="s">
        <v>18</v>
      </c>
      <c r="F561" s="136" t="s">
        <v>23</v>
      </c>
      <c r="G561" s="135" t="s">
        <v>24</v>
      </c>
      <c r="H561" s="137">
        <v>191.14</v>
      </c>
      <c r="I561" s="137">
        <v>13.3033</v>
      </c>
      <c r="J561" s="129">
        <v>22914.53</v>
      </c>
      <c r="K561" s="129">
        <f>+J561*I561</f>
        <v>304838.86694899999</v>
      </c>
      <c r="L561" s="129">
        <f>+I561*J561</f>
        <v>304838.86694899999</v>
      </c>
      <c r="M561" s="129"/>
      <c r="N561" s="129"/>
      <c r="O561" s="129"/>
      <c r="P561" s="129"/>
    </row>
    <row r="562" spans="1:18" s="15" customFormat="1" x14ac:dyDescent="0.2">
      <c r="A562" s="1" t="s">
        <v>1385</v>
      </c>
      <c r="B562" s="1" t="s">
        <v>1386</v>
      </c>
      <c r="C562" s="1" t="s">
        <v>28</v>
      </c>
      <c r="D562" s="138" t="s">
        <v>962</v>
      </c>
      <c r="E562" s="139" t="s">
        <v>213</v>
      </c>
      <c r="F562" s="140" t="s">
        <v>214</v>
      </c>
      <c r="G562" s="139" t="s">
        <v>28</v>
      </c>
      <c r="H562" s="141">
        <v>9.23</v>
      </c>
      <c r="I562" s="141">
        <v>0.64240799999999998</v>
      </c>
      <c r="J562" s="129">
        <v>1399</v>
      </c>
      <c r="K562" s="129">
        <f>+J562*I562</f>
        <v>898.728792</v>
      </c>
      <c r="L562" s="129"/>
      <c r="M562" s="129">
        <f>+J562*I562</f>
        <v>898.728792</v>
      </c>
      <c r="N562" s="129"/>
      <c r="O562" s="129"/>
      <c r="P562" s="129"/>
    </row>
    <row r="563" spans="1:18" s="15" customFormat="1" x14ac:dyDescent="0.2">
      <c r="A563" s="1" t="s">
        <v>1385</v>
      </c>
      <c r="B563" s="1" t="s">
        <v>1386</v>
      </c>
      <c r="C563" s="1" t="s">
        <v>28</v>
      </c>
      <c r="D563" s="138" t="s">
        <v>963</v>
      </c>
      <c r="E563" s="139" t="s">
        <v>964</v>
      </c>
      <c r="F563" s="140" t="s">
        <v>965</v>
      </c>
      <c r="G563" s="139" t="s">
        <v>28</v>
      </c>
      <c r="H563" s="141">
        <v>26.45</v>
      </c>
      <c r="I563" s="141">
        <v>1.8409</v>
      </c>
      <c r="J563" s="129">
        <v>1349</v>
      </c>
      <c r="K563" s="129">
        <f>+J563*I563</f>
        <v>2483.3741</v>
      </c>
      <c r="L563" s="129"/>
      <c r="M563" s="129">
        <f>+J563*I563</f>
        <v>2483.3741</v>
      </c>
      <c r="N563" s="129"/>
      <c r="O563" s="129"/>
      <c r="P563" s="129"/>
    </row>
    <row r="564" spans="1:18" s="15" customFormat="1" x14ac:dyDescent="0.2">
      <c r="A564" s="1" t="s">
        <v>1385</v>
      </c>
      <c r="B564" s="1" t="s">
        <v>1386</v>
      </c>
      <c r="C564" s="1" t="s">
        <v>28</v>
      </c>
      <c r="D564" s="138" t="s">
        <v>966</v>
      </c>
      <c r="E564" s="139" t="s">
        <v>967</v>
      </c>
      <c r="F564" s="140" t="s">
        <v>968</v>
      </c>
      <c r="G564" s="139" t="s">
        <v>28</v>
      </c>
      <c r="H564" s="141">
        <v>49.2</v>
      </c>
      <c r="I564" s="141">
        <v>3.4243000000000001</v>
      </c>
      <c r="J564" s="129">
        <v>27087</v>
      </c>
      <c r="K564" s="129">
        <f>+J564*I564</f>
        <v>92754.0141</v>
      </c>
      <c r="L564" s="129"/>
      <c r="M564" s="129">
        <f>+J564*I564</f>
        <v>92754.0141</v>
      </c>
      <c r="N564" s="129"/>
      <c r="O564" s="129"/>
      <c r="P564" s="129"/>
    </row>
    <row r="565" spans="1:18" s="16" customFormat="1" x14ac:dyDescent="0.2">
      <c r="A565" s="1" t="s">
        <v>1385</v>
      </c>
      <c r="B565" s="1" t="s">
        <v>1386</v>
      </c>
      <c r="C565" s="1" t="s">
        <v>1399</v>
      </c>
      <c r="D565" s="142" t="s">
        <v>969</v>
      </c>
      <c r="E565" s="143" t="s">
        <v>970</v>
      </c>
      <c r="F565" s="144" t="s">
        <v>971</v>
      </c>
      <c r="G565" s="143" t="s">
        <v>42</v>
      </c>
      <c r="H565" s="145">
        <v>1200</v>
      </c>
      <c r="I565" s="146">
        <v>83.52</v>
      </c>
      <c r="J565" s="129">
        <v>50</v>
      </c>
      <c r="K565" s="129">
        <f>+J565*I565</f>
        <v>4176</v>
      </c>
      <c r="L565" s="129"/>
      <c r="M565" s="129"/>
      <c r="N565" s="129">
        <f>+I565*J565</f>
        <v>4176</v>
      </c>
      <c r="O565" s="129"/>
      <c r="P565" s="129"/>
    </row>
    <row r="566" spans="1:18" s="1" customFormat="1" ht="25.5" x14ac:dyDescent="0.2">
      <c r="A566" s="1" t="s">
        <v>1385</v>
      </c>
      <c r="B566" s="1" t="s">
        <v>1386</v>
      </c>
      <c r="C566" s="1" t="s">
        <v>1399</v>
      </c>
      <c r="D566" s="130" t="s">
        <v>972</v>
      </c>
      <c r="E566" s="131" t="s">
        <v>973</v>
      </c>
      <c r="F566" s="131" t="s">
        <v>974</v>
      </c>
      <c r="G566" s="132" t="s">
        <v>21</v>
      </c>
      <c r="H566" s="133">
        <v>6.9599999999999995E-2</v>
      </c>
      <c r="I566" s="133">
        <f>+I572/H572</f>
        <v>6.9599999999999995E-2</v>
      </c>
      <c r="J566" s="129"/>
      <c r="K566" s="129"/>
      <c r="L566" s="129"/>
      <c r="M566" s="129"/>
      <c r="N566" s="129"/>
      <c r="O566" s="129"/>
      <c r="P566" s="129"/>
      <c r="Q566" s="1">
        <f>+Q572/H572</f>
        <v>4.7619047619047616E-2</v>
      </c>
    </row>
    <row r="567" spans="1:18" s="14" customFormat="1" x14ac:dyDescent="0.2">
      <c r="A567" s="1" t="s">
        <v>1385</v>
      </c>
      <c r="B567" s="1" t="s">
        <v>1386</v>
      </c>
      <c r="C567" s="1" t="s">
        <v>24</v>
      </c>
      <c r="D567" s="134" t="s">
        <v>975</v>
      </c>
      <c r="E567" s="135" t="s">
        <v>18</v>
      </c>
      <c r="F567" s="136" t="s">
        <v>23</v>
      </c>
      <c r="G567" s="135" t="s">
        <v>24</v>
      </c>
      <c r="H567" s="137">
        <v>192.84</v>
      </c>
      <c r="I567" s="137">
        <f>+$H$566*H567</f>
        <v>13.421664</v>
      </c>
      <c r="J567" s="129">
        <v>22914.53</v>
      </c>
      <c r="K567" s="129">
        <f t="shared" ref="K567:K575" si="41">+J567*I567</f>
        <v>307551.12237791996</v>
      </c>
      <c r="L567" s="129">
        <f>+I567*J567</f>
        <v>307551.12237791996</v>
      </c>
      <c r="M567" s="129"/>
      <c r="N567" s="129"/>
      <c r="O567" s="129"/>
      <c r="P567" s="129"/>
      <c r="Q567" s="14">
        <f>+$Q$566*H567</f>
        <v>9.1828571428571433</v>
      </c>
      <c r="R567" s="14">
        <f>+Q567*J567</f>
        <v>210420.85548571427</v>
      </c>
    </row>
    <row r="568" spans="1:18" s="15" customFormat="1" x14ac:dyDescent="0.2">
      <c r="A568" s="1" t="s">
        <v>1385</v>
      </c>
      <c r="B568" s="1" t="s">
        <v>1386</v>
      </c>
      <c r="C568" s="1" t="s">
        <v>28</v>
      </c>
      <c r="D568" s="138" t="s">
        <v>976</v>
      </c>
      <c r="E568" s="139" t="s">
        <v>213</v>
      </c>
      <c r="F568" s="140" t="s">
        <v>214</v>
      </c>
      <c r="G568" s="139" t="s">
        <v>28</v>
      </c>
      <c r="H568" s="141">
        <v>5.9</v>
      </c>
      <c r="I568" s="137">
        <f t="shared" ref="I568:I575" si="42">+$H$566*H568</f>
        <v>0.41064000000000001</v>
      </c>
      <c r="J568" s="129">
        <v>1399</v>
      </c>
      <c r="K568" s="129">
        <f t="shared" si="41"/>
        <v>574.48536000000001</v>
      </c>
      <c r="L568" s="129"/>
      <c r="M568" s="129">
        <f>+J568*I568</f>
        <v>574.48536000000001</v>
      </c>
      <c r="N568" s="129"/>
      <c r="O568" s="129"/>
      <c r="P568" s="129"/>
      <c r="Q568" s="14">
        <f>+$Q$566*H568</f>
        <v>0.28095238095238095</v>
      </c>
      <c r="R568" s="14">
        <f>+Q568*J568</f>
        <v>393.05238095238093</v>
      </c>
    </row>
    <row r="569" spans="1:18" s="15" customFormat="1" x14ac:dyDescent="0.2">
      <c r="A569" s="1" t="s">
        <v>1385</v>
      </c>
      <c r="B569" s="1" t="s">
        <v>1386</v>
      </c>
      <c r="C569" s="1" t="s">
        <v>28</v>
      </c>
      <c r="D569" s="138" t="s">
        <v>977</v>
      </c>
      <c r="E569" s="139" t="s">
        <v>26</v>
      </c>
      <c r="F569" s="140" t="s">
        <v>27</v>
      </c>
      <c r="G569" s="139" t="s">
        <v>28</v>
      </c>
      <c r="H569" s="141">
        <v>21.6</v>
      </c>
      <c r="I569" s="137">
        <f t="shared" si="42"/>
        <v>1.50336</v>
      </c>
      <c r="J569" s="129">
        <v>1253</v>
      </c>
      <c r="K569" s="129">
        <f t="shared" si="41"/>
        <v>1883.7100800000001</v>
      </c>
      <c r="L569" s="129"/>
      <c r="M569" s="129">
        <f>+J569*I569</f>
        <v>1883.7100800000001</v>
      </c>
      <c r="N569" s="129"/>
      <c r="O569" s="129"/>
      <c r="P569" s="129"/>
      <c r="Q569" s="14">
        <f>+$Q$566*H569</f>
        <v>1.0285714285714287</v>
      </c>
      <c r="R569" s="14">
        <f>+Q569*J569</f>
        <v>1288.8000000000002</v>
      </c>
    </row>
    <row r="570" spans="1:18" s="15" customFormat="1" x14ac:dyDescent="0.2">
      <c r="A570" s="1" t="s">
        <v>1385</v>
      </c>
      <c r="B570" s="1" t="s">
        <v>1386</v>
      </c>
      <c r="C570" s="1" t="s">
        <v>28</v>
      </c>
      <c r="D570" s="138" t="s">
        <v>978</v>
      </c>
      <c r="E570" s="139" t="s">
        <v>30</v>
      </c>
      <c r="F570" s="140" t="s">
        <v>31</v>
      </c>
      <c r="G570" s="139" t="s">
        <v>28</v>
      </c>
      <c r="H570" s="141">
        <v>0.49</v>
      </c>
      <c r="I570" s="137">
        <f t="shared" si="42"/>
        <v>3.4103999999999995E-2</v>
      </c>
      <c r="J570" s="129">
        <v>106655</v>
      </c>
      <c r="K570" s="129">
        <f t="shared" si="41"/>
        <v>3637.3621199999993</v>
      </c>
      <c r="L570" s="129"/>
      <c r="M570" s="129">
        <f>+J570*I570</f>
        <v>3637.3621199999993</v>
      </c>
      <c r="N570" s="129"/>
      <c r="O570" s="129"/>
      <c r="P570" s="129"/>
      <c r="Q570" s="14">
        <f>+$Q$566*H570</f>
        <v>2.3333333333333331E-2</v>
      </c>
      <c r="R570" s="14">
        <f>+Q570*J570</f>
        <v>2488.6166666666663</v>
      </c>
    </row>
    <row r="571" spans="1:18" s="15" customFormat="1" x14ac:dyDescent="0.2">
      <c r="A571" s="1" t="s">
        <v>1385</v>
      </c>
      <c r="B571" s="1" t="s">
        <v>1386</v>
      </c>
      <c r="C571" s="1" t="s">
        <v>28</v>
      </c>
      <c r="D571" s="138" t="s">
        <v>979</v>
      </c>
      <c r="E571" s="139" t="s">
        <v>33</v>
      </c>
      <c r="F571" s="140" t="s">
        <v>34</v>
      </c>
      <c r="G571" s="139" t="s">
        <v>28</v>
      </c>
      <c r="H571" s="149">
        <v>60</v>
      </c>
      <c r="I571" s="137">
        <f t="shared" si="42"/>
        <v>4.1760000000000002</v>
      </c>
      <c r="J571" s="129">
        <v>1732</v>
      </c>
      <c r="K571" s="129">
        <f t="shared" si="41"/>
        <v>7232.8320000000003</v>
      </c>
      <c r="L571" s="129"/>
      <c r="M571" s="129">
        <f>+J571*I571</f>
        <v>7232.8320000000003</v>
      </c>
      <c r="N571" s="129"/>
      <c r="O571" s="129"/>
      <c r="P571" s="129"/>
      <c r="Q571" s="14">
        <f>+$Q$566*H571</f>
        <v>2.8571428571428568</v>
      </c>
      <c r="R571" s="14">
        <f>+Q571*J571</f>
        <v>4948.5714285714275</v>
      </c>
    </row>
    <row r="572" spans="1:18" s="16" customFormat="1" x14ac:dyDescent="0.2">
      <c r="A572" s="1" t="s">
        <v>1385</v>
      </c>
      <c r="B572" s="1" t="s">
        <v>1386</v>
      </c>
      <c r="C572" s="1" t="s">
        <v>1399</v>
      </c>
      <c r="D572" s="142" t="s">
        <v>980</v>
      </c>
      <c r="E572" s="143" t="s">
        <v>981</v>
      </c>
      <c r="F572" s="144" t="s">
        <v>982</v>
      </c>
      <c r="G572" s="143" t="s">
        <v>38</v>
      </c>
      <c r="H572" s="145">
        <v>105</v>
      </c>
      <c r="I572" s="137">
        <f t="shared" si="42"/>
        <v>7.3079999999999998</v>
      </c>
      <c r="J572" s="129">
        <v>141000</v>
      </c>
      <c r="K572" s="129">
        <f t="shared" si="41"/>
        <v>1030428</v>
      </c>
      <c r="L572" s="129"/>
      <c r="M572" s="129"/>
      <c r="N572" s="129">
        <f>+I572*J572</f>
        <v>1030428</v>
      </c>
      <c r="O572" s="129"/>
      <c r="P572" s="129"/>
      <c r="Q572" s="16">
        <v>5</v>
      </c>
      <c r="R572" s="14">
        <f>+Q572*J572</f>
        <v>705000</v>
      </c>
    </row>
    <row r="573" spans="1:18" s="16" customFormat="1" x14ac:dyDescent="0.2">
      <c r="A573" s="1" t="s">
        <v>1385</v>
      </c>
      <c r="B573" s="1" t="s">
        <v>1386</v>
      </c>
      <c r="C573" s="1" t="s">
        <v>1399</v>
      </c>
      <c r="D573" s="142" t="s">
        <v>983</v>
      </c>
      <c r="E573" s="143" t="s">
        <v>984</v>
      </c>
      <c r="F573" s="144" t="s">
        <v>985</v>
      </c>
      <c r="G573" s="143" t="s">
        <v>42</v>
      </c>
      <c r="H573" s="145">
        <v>2400</v>
      </c>
      <c r="I573" s="137">
        <f t="shared" si="42"/>
        <v>167.04</v>
      </c>
      <c r="J573" s="129">
        <v>200</v>
      </c>
      <c r="K573" s="129">
        <f t="shared" si="41"/>
        <v>33408</v>
      </c>
      <c r="L573" s="129"/>
      <c r="M573" s="129"/>
      <c r="N573" s="129">
        <f>+I573*J573</f>
        <v>33408</v>
      </c>
      <c r="O573" s="129"/>
      <c r="P573" s="129"/>
      <c r="Q573" s="14">
        <f>+$Q$566*H573</f>
        <v>114.28571428571428</v>
      </c>
      <c r="R573" s="14">
        <f>+Q573*J573</f>
        <v>22857.142857142855</v>
      </c>
    </row>
    <row r="574" spans="1:18" s="16" customFormat="1" x14ac:dyDescent="0.2">
      <c r="A574" s="1" t="s">
        <v>1385</v>
      </c>
      <c r="B574" s="1" t="s">
        <v>1386</v>
      </c>
      <c r="C574" s="1" t="s">
        <v>1399</v>
      </c>
      <c r="D574" s="142" t="s">
        <v>986</v>
      </c>
      <c r="E574" s="143" t="s">
        <v>987</v>
      </c>
      <c r="F574" s="144" t="s">
        <v>988</v>
      </c>
      <c r="G574" s="143" t="s">
        <v>42</v>
      </c>
      <c r="H574" s="145">
        <v>200</v>
      </c>
      <c r="I574" s="137">
        <f t="shared" si="42"/>
        <v>13.919999999999998</v>
      </c>
      <c r="J574" s="129">
        <v>1000</v>
      </c>
      <c r="K574" s="129">
        <f t="shared" si="41"/>
        <v>13919.999999999998</v>
      </c>
      <c r="L574" s="129"/>
      <c r="M574" s="129"/>
      <c r="N574" s="129">
        <f>+I574*J574</f>
        <v>13919.999999999998</v>
      </c>
      <c r="O574" s="129"/>
      <c r="P574" s="129"/>
      <c r="Q574" s="14">
        <f>+$Q$566*H574</f>
        <v>9.5238095238095237</v>
      </c>
      <c r="R574" s="14">
        <f>+Q574*J574</f>
        <v>9523.8095238095229</v>
      </c>
    </row>
    <row r="575" spans="1:18" s="16" customFormat="1" x14ac:dyDescent="0.2">
      <c r="A575" s="1" t="s">
        <v>1385</v>
      </c>
      <c r="B575" s="1" t="s">
        <v>1386</v>
      </c>
      <c r="C575" s="1" t="s">
        <v>1399</v>
      </c>
      <c r="D575" s="142" t="s">
        <v>989</v>
      </c>
      <c r="E575" s="143" t="s">
        <v>990</v>
      </c>
      <c r="F575" s="144" t="s">
        <v>991</v>
      </c>
      <c r="G575" s="143" t="s">
        <v>107</v>
      </c>
      <c r="H575" s="146">
        <v>0.122</v>
      </c>
      <c r="I575" s="137">
        <f t="shared" si="42"/>
        <v>8.4911999999999991E-3</v>
      </c>
      <c r="J575" s="129">
        <v>9500000</v>
      </c>
      <c r="K575" s="129">
        <f t="shared" si="41"/>
        <v>80666.399999999994</v>
      </c>
      <c r="L575" s="129"/>
      <c r="M575" s="129"/>
      <c r="N575" s="129">
        <f>+I575*J575</f>
        <v>80666.399999999994</v>
      </c>
      <c r="O575" s="129"/>
      <c r="P575" s="129"/>
      <c r="Q575" s="14">
        <f>+$Q$566*H575</f>
        <v>5.8095238095238087E-3</v>
      </c>
      <c r="R575" s="14">
        <f>+Q575*J575</f>
        <v>55190.476190476184</v>
      </c>
    </row>
    <row r="576" spans="1:18" ht="15.75" x14ac:dyDescent="0.25">
      <c r="A576" s="1" t="s">
        <v>1385</v>
      </c>
      <c r="B576" s="1" t="s">
        <v>1386</v>
      </c>
      <c r="C576" s="1"/>
      <c r="D576" s="127" t="s">
        <v>992</v>
      </c>
      <c r="E576" s="128"/>
      <c r="F576" s="128"/>
      <c r="G576" s="128"/>
      <c r="H576" s="128"/>
      <c r="I576" s="128"/>
      <c r="J576" s="129"/>
      <c r="K576" s="129"/>
      <c r="L576" s="129"/>
      <c r="M576" s="129"/>
      <c r="N576" s="129"/>
      <c r="O576" s="129"/>
      <c r="P576" s="129"/>
    </row>
    <row r="577" spans="1:16" s="1" customFormat="1" x14ac:dyDescent="0.2">
      <c r="A577" s="1" t="s">
        <v>1385</v>
      </c>
      <c r="B577" s="1" t="s">
        <v>1386</v>
      </c>
      <c r="C577" s="1" t="s">
        <v>1397</v>
      </c>
      <c r="D577" s="130" t="s">
        <v>993</v>
      </c>
      <c r="E577" s="131" t="s">
        <v>811</v>
      </c>
      <c r="F577" s="131" t="s">
        <v>994</v>
      </c>
      <c r="G577" s="132" t="s">
        <v>638</v>
      </c>
      <c r="H577" s="133">
        <v>0.108</v>
      </c>
      <c r="I577" s="133"/>
      <c r="J577" s="129"/>
      <c r="K577" s="129"/>
      <c r="L577" s="129"/>
      <c r="M577" s="129"/>
      <c r="N577" s="129"/>
      <c r="O577" s="129"/>
      <c r="P577" s="129"/>
    </row>
    <row r="578" spans="1:16" s="14" customFormat="1" x14ac:dyDescent="0.2">
      <c r="A578" s="1" t="s">
        <v>1385</v>
      </c>
      <c r="B578" s="1" t="s">
        <v>1386</v>
      </c>
      <c r="C578" s="1" t="s">
        <v>24</v>
      </c>
      <c r="D578" s="134" t="s">
        <v>995</v>
      </c>
      <c r="E578" s="135" t="s">
        <v>18</v>
      </c>
      <c r="F578" s="136" t="s">
        <v>23</v>
      </c>
      <c r="G578" s="135" t="s">
        <v>24</v>
      </c>
      <c r="H578" s="137">
        <v>41.5</v>
      </c>
      <c r="I578" s="137">
        <v>4.4820000000000002</v>
      </c>
      <c r="J578" s="129">
        <v>22914.53</v>
      </c>
      <c r="K578" s="129">
        <f>+J578*I578</f>
        <v>102702.92346000001</v>
      </c>
      <c r="L578" s="129">
        <f>+I578*J578</f>
        <v>102702.92346000001</v>
      </c>
      <c r="M578" s="129"/>
      <c r="N578" s="129"/>
      <c r="O578" s="129"/>
      <c r="P578" s="129"/>
    </row>
    <row r="579" spans="1:16" s="15" customFormat="1" x14ac:dyDescent="0.2">
      <c r="A579" s="1" t="s">
        <v>1385</v>
      </c>
      <c r="B579" s="1" t="s">
        <v>1386</v>
      </c>
      <c r="C579" s="1" t="s">
        <v>28</v>
      </c>
      <c r="D579" s="138" t="s">
        <v>996</v>
      </c>
      <c r="E579" s="139" t="s">
        <v>98</v>
      </c>
      <c r="F579" s="140" t="s">
        <v>99</v>
      </c>
      <c r="G579" s="139" t="s">
        <v>28</v>
      </c>
      <c r="H579" s="141">
        <v>5.8</v>
      </c>
      <c r="I579" s="141">
        <v>0.62639999999999996</v>
      </c>
      <c r="J579" s="129">
        <v>6858</v>
      </c>
      <c r="K579" s="129">
        <f>+J579*I579</f>
        <v>4295.8512000000001</v>
      </c>
      <c r="L579" s="129"/>
      <c r="M579" s="129">
        <f>+J579*I579</f>
        <v>4295.8512000000001</v>
      </c>
      <c r="N579" s="129"/>
      <c r="O579" s="129"/>
      <c r="P579" s="129"/>
    </row>
    <row r="580" spans="1:16" s="15" customFormat="1" x14ac:dyDescent="0.2">
      <c r="A580" s="1" t="s">
        <v>1385</v>
      </c>
      <c r="B580" s="1" t="s">
        <v>1386</v>
      </c>
      <c r="C580" s="1" t="s">
        <v>28</v>
      </c>
      <c r="D580" s="138" t="s">
        <v>997</v>
      </c>
      <c r="E580" s="139" t="s">
        <v>193</v>
      </c>
      <c r="F580" s="140" t="s">
        <v>31</v>
      </c>
      <c r="G580" s="139" t="s">
        <v>28</v>
      </c>
      <c r="H580" s="141">
        <v>2.21</v>
      </c>
      <c r="I580" s="141">
        <v>0.23868</v>
      </c>
      <c r="J580" s="129">
        <v>106655</v>
      </c>
      <c r="K580" s="129">
        <f>+J580*I580</f>
        <v>25456.415400000002</v>
      </c>
      <c r="L580" s="129"/>
      <c r="M580" s="129">
        <f>+J580*I580</f>
        <v>25456.415400000002</v>
      </c>
      <c r="N580" s="129"/>
      <c r="O580" s="129"/>
      <c r="P580" s="129"/>
    </row>
    <row r="581" spans="1:16" s="16" customFormat="1" x14ac:dyDescent="0.2">
      <c r="A581" s="1" t="s">
        <v>1385</v>
      </c>
      <c r="B581" s="1" t="s">
        <v>1386</v>
      </c>
      <c r="C581" s="1" t="s">
        <v>1399</v>
      </c>
      <c r="D581" s="142" t="s">
        <v>998</v>
      </c>
      <c r="E581" s="143" t="s">
        <v>820</v>
      </c>
      <c r="F581" s="144" t="s">
        <v>821</v>
      </c>
      <c r="G581" s="143" t="s">
        <v>107</v>
      </c>
      <c r="H581" s="146">
        <v>0.02</v>
      </c>
      <c r="I581" s="146">
        <v>2.16E-3</v>
      </c>
      <c r="J581" s="129">
        <v>11250000</v>
      </c>
      <c r="K581" s="129">
        <f>+J581*I581</f>
        <v>24300</v>
      </c>
      <c r="L581" s="129"/>
      <c r="M581" s="129"/>
      <c r="N581" s="129">
        <f>+I581*J581</f>
        <v>24300</v>
      </c>
      <c r="O581" s="129"/>
      <c r="P581" s="129"/>
    </row>
    <row r="582" spans="1:16" s="1" customFormat="1" x14ac:dyDescent="0.2">
      <c r="A582" s="1" t="s">
        <v>1385</v>
      </c>
      <c r="B582" s="1" t="s">
        <v>1386</v>
      </c>
      <c r="C582" s="1" t="s">
        <v>1399</v>
      </c>
      <c r="D582" s="130" t="s">
        <v>999</v>
      </c>
      <c r="E582" s="131" t="s">
        <v>1000</v>
      </c>
      <c r="F582" s="131" t="s">
        <v>1001</v>
      </c>
      <c r="G582" s="132" t="s">
        <v>69</v>
      </c>
      <c r="H582" s="133">
        <v>10.8</v>
      </c>
      <c r="I582" s="133">
        <f>+H582</f>
        <v>10.8</v>
      </c>
      <c r="J582" s="129">
        <v>100000</v>
      </c>
      <c r="K582" s="129">
        <f>+J582*I582</f>
        <v>1080000</v>
      </c>
      <c r="L582" s="129"/>
      <c r="M582" s="129"/>
      <c r="N582" s="129">
        <f>+J582*I582</f>
        <v>1080000</v>
      </c>
      <c r="O582" s="129"/>
      <c r="P582" s="129"/>
    </row>
    <row r="583" spans="1:16" s="1" customFormat="1" ht="25.5" x14ac:dyDescent="0.2">
      <c r="A583" s="1" t="s">
        <v>1385</v>
      </c>
      <c r="B583" s="1" t="s">
        <v>1386</v>
      </c>
      <c r="C583" s="1" t="s">
        <v>1397</v>
      </c>
      <c r="D583" s="130" t="s">
        <v>1002</v>
      </c>
      <c r="E583" s="131" t="s">
        <v>903</v>
      </c>
      <c r="F583" s="131" t="s">
        <v>904</v>
      </c>
      <c r="G583" s="132" t="s">
        <v>21</v>
      </c>
      <c r="H583" s="133">
        <v>4.7800000000000002E-2</v>
      </c>
      <c r="I583" s="133"/>
      <c r="J583" s="129"/>
      <c r="K583" s="129"/>
      <c r="L583" s="129"/>
      <c r="M583" s="129"/>
      <c r="N583" s="129"/>
      <c r="O583" s="129"/>
      <c r="P583" s="129"/>
    </row>
    <row r="584" spans="1:16" s="14" customFormat="1" x14ac:dyDescent="0.2">
      <c r="A584" s="1" t="s">
        <v>1385</v>
      </c>
      <c r="B584" s="1" t="s">
        <v>1386</v>
      </c>
      <c r="C584" s="1" t="s">
        <v>24</v>
      </c>
      <c r="D584" s="134" t="s">
        <v>1003</v>
      </c>
      <c r="E584" s="135" t="s">
        <v>18</v>
      </c>
      <c r="F584" s="136" t="s">
        <v>23</v>
      </c>
      <c r="G584" s="135" t="s">
        <v>24</v>
      </c>
      <c r="H584" s="137">
        <v>5.31</v>
      </c>
      <c r="I584" s="137">
        <v>0.25381799999999999</v>
      </c>
      <c r="J584" s="129">
        <v>22914.53</v>
      </c>
      <c r="K584" s="129">
        <f>+J584*I584</f>
        <v>5816.1201755399998</v>
      </c>
      <c r="L584" s="129">
        <f>+I584*J584</f>
        <v>5816.1201755399998</v>
      </c>
      <c r="M584" s="129"/>
      <c r="N584" s="129"/>
      <c r="O584" s="129"/>
      <c r="P584" s="129"/>
    </row>
    <row r="585" spans="1:16" s="15" customFormat="1" x14ac:dyDescent="0.2">
      <c r="A585" s="1" t="s">
        <v>1385</v>
      </c>
      <c r="B585" s="1" t="s">
        <v>1386</v>
      </c>
      <c r="C585" s="1" t="s">
        <v>28</v>
      </c>
      <c r="D585" s="138" t="s">
        <v>1004</v>
      </c>
      <c r="E585" s="139" t="s">
        <v>193</v>
      </c>
      <c r="F585" s="140" t="s">
        <v>31</v>
      </c>
      <c r="G585" s="139" t="s">
        <v>28</v>
      </c>
      <c r="H585" s="141">
        <v>0.01</v>
      </c>
      <c r="I585" s="141">
        <v>4.7800000000000002E-4</v>
      </c>
      <c r="J585" s="129">
        <v>106655</v>
      </c>
      <c r="K585" s="129">
        <f>+J585*I585</f>
        <v>50.981090000000002</v>
      </c>
      <c r="L585" s="129"/>
      <c r="M585" s="129">
        <f>+J585*I585</f>
        <v>50.981090000000002</v>
      </c>
      <c r="N585" s="129"/>
      <c r="O585" s="129"/>
      <c r="P585" s="129"/>
    </row>
    <row r="586" spans="1:16" s="15" customFormat="1" ht="24" x14ac:dyDescent="0.2">
      <c r="A586" s="1" t="s">
        <v>1385</v>
      </c>
      <c r="B586" s="1" t="s">
        <v>1386</v>
      </c>
      <c r="C586" s="1" t="s">
        <v>28</v>
      </c>
      <c r="D586" s="138" t="s">
        <v>1005</v>
      </c>
      <c r="E586" s="139" t="s">
        <v>908</v>
      </c>
      <c r="F586" s="140" t="s">
        <v>909</v>
      </c>
      <c r="G586" s="139" t="s">
        <v>28</v>
      </c>
      <c r="H586" s="141">
        <v>1.1200000000000001</v>
      </c>
      <c r="I586" s="141">
        <v>5.3536E-2</v>
      </c>
      <c r="J586" s="129">
        <v>6265</v>
      </c>
      <c r="K586" s="129">
        <f>+J586*I586</f>
        <v>335.40303999999998</v>
      </c>
      <c r="L586" s="129"/>
      <c r="M586" s="129">
        <f>+J586*I586</f>
        <v>335.40303999999998</v>
      </c>
      <c r="N586" s="129"/>
      <c r="O586" s="129"/>
      <c r="P586" s="129"/>
    </row>
    <row r="587" spans="1:16" s="16" customFormat="1" x14ac:dyDescent="0.2">
      <c r="A587" s="1" t="s">
        <v>1385</v>
      </c>
      <c r="B587" s="1" t="s">
        <v>1386</v>
      </c>
      <c r="C587" s="1" t="s">
        <v>1399</v>
      </c>
      <c r="D587" s="142" t="s">
        <v>1006</v>
      </c>
      <c r="E587" s="143" t="s">
        <v>911</v>
      </c>
      <c r="F587" s="144" t="s">
        <v>912</v>
      </c>
      <c r="G587" s="143" t="s">
        <v>107</v>
      </c>
      <c r="H587" s="146">
        <v>1.2E-2</v>
      </c>
      <c r="I587" s="146">
        <v>5.7399999999999997E-4</v>
      </c>
      <c r="J587" s="129">
        <v>18482000</v>
      </c>
      <c r="K587" s="129">
        <f>+J587*I587</f>
        <v>10608.668</v>
      </c>
      <c r="L587" s="129"/>
      <c r="M587" s="129"/>
      <c r="N587" s="129">
        <f>+I587*J587</f>
        <v>10608.668</v>
      </c>
      <c r="O587" s="129"/>
      <c r="P587" s="129"/>
    </row>
    <row r="588" spans="1:16" s="1" customFormat="1" ht="25.5" x14ac:dyDescent="0.2">
      <c r="A588" s="1" t="s">
        <v>1385</v>
      </c>
      <c r="B588" s="1" t="s">
        <v>1386</v>
      </c>
      <c r="C588" s="1" t="s">
        <v>1397</v>
      </c>
      <c r="D588" s="130" t="s">
        <v>1007</v>
      </c>
      <c r="E588" s="131" t="s">
        <v>914</v>
      </c>
      <c r="F588" s="131" t="s">
        <v>915</v>
      </c>
      <c r="G588" s="132" t="s">
        <v>21</v>
      </c>
      <c r="H588" s="133">
        <v>4.7800000000000002E-2</v>
      </c>
      <c r="I588" s="133"/>
      <c r="J588" s="129"/>
      <c r="K588" s="129"/>
      <c r="L588" s="129"/>
      <c r="M588" s="129"/>
      <c r="N588" s="129"/>
      <c r="O588" s="129"/>
      <c r="P588" s="129"/>
    </row>
    <row r="589" spans="1:16" s="14" customFormat="1" x14ac:dyDescent="0.2">
      <c r="A589" s="1" t="s">
        <v>1385</v>
      </c>
      <c r="B589" s="1" t="s">
        <v>1386</v>
      </c>
      <c r="C589" s="1" t="s">
        <v>24</v>
      </c>
      <c r="D589" s="134" t="s">
        <v>1008</v>
      </c>
      <c r="E589" s="135" t="s">
        <v>18</v>
      </c>
      <c r="F589" s="136" t="s">
        <v>23</v>
      </c>
      <c r="G589" s="135" t="s">
        <v>24</v>
      </c>
      <c r="H589" s="137">
        <v>7.66</v>
      </c>
      <c r="I589" s="137">
        <v>0.36614799999999997</v>
      </c>
      <c r="J589" s="129">
        <v>22914.53</v>
      </c>
      <c r="K589" s="129">
        <f>+J589*I589</f>
        <v>8390.1093304399983</v>
      </c>
      <c r="L589" s="129">
        <f>+I589*J589</f>
        <v>8390.1093304399983</v>
      </c>
      <c r="M589" s="129"/>
      <c r="N589" s="129"/>
      <c r="O589" s="129"/>
      <c r="P589" s="129"/>
    </row>
    <row r="590" spans="1:16" s="15" customFormat="1" x14ac:dyDescent="0.2">
      <c r="A590" s="1" t="s">
        <v>1385</v>
      </c>
      <c r="B590" s="1" t="s">
        <v>1386</v>
      </c>
      <c r="C590" s="1" t="s">
        <v>28</v>
      </c>
      <c r="D590" s="138" t="s">
        <v>1009</v>
      </c>
      <c r="E590" s="139" t="s">
        <v>193</v>
      </c>
      <c r="F590" s="140" t="s">
        <v>31</v>
      </c>
      <c r="G590" s="139" t="s">
        <v>28</v>
      </c>
      <c r="H590" s="141">
        <v>0.02</v>
      </c>
      <c r="I590" s="141">
        <v>9.5600000000000004E-4</v>
      </c>
      <c r="J590" s="129">
        <v>106655</v>
      </c>
      <c r="K590" s="129">
        <f>+J590*I590</f>
        <v>101.96218</v>
      </c>
      <c r="L590" s="129"/>
      <c r="M590" s="129">
        <f>+J590*I590</f>
        <v>101.96218</v>
      </c>
      <c r="N590" s="129"/>
      <c r="O590" s="129"/>
      <c r="P590" s="129"/>
    </row>
    <row r="591" spans="1:16" s="15" customFormat="1" ht="24" x14ac:dyDescent="0.2">
      <c r="A591" s="1" t="s">
        <v>1385</v>
      </c>
      <c r="B591" s="1" t="s">
        <v>1386</v>
      </c>
      <c r="C591" s="1" t="s">
        <v>28</v>
      </c>
      <c r="D591" s="138" t="s">
        <v>1010</v>
      </c>
      <c r="E591" s="139" t="s">
        <v>908</v>
      </c>
      <c r="F591" s="140" t="s">
        <v>909</v>
      </c>
      <c r="G591" s="139" t="s">
        <v>28</v>
      </c>
      <c r="H591" s="141">
        <v>1.3</v>
      </c>
      <c r="I591" s="141">
        <v>6.2140000000000001E-2</v>
      </c>
      <c r="J591" s="129">
        <v>6265</v>
      </c>
      <c r="K591" s="129">
        <f>+J591*I591</f>
        <v>389.30709999999999</v>
      </c>
      <c r="L591" s="129"/>
      <c r="M591" s="129">
        <f>+J591*I591</f>
        <v>389.30709999999999</v>
      </c>
      <c r="N591" s="129"/>
      <c r="O591" s="129"/>
      <c r="P591" s="129"/>
    </row>
    <row r="592" spans="1:16" s="16" customFormat="1" x14ac:dyDescent="0.2">
      <c r="A592" s="1" t="s">
        <v>1385</v>
      </c>
      <c r="B592" s="1" t="s">
        <v>1386</v>
      </c>
      <c r="C592" s="1" t="s">
        <v>1399</v>
      </c>
      <c r="D592" s="142" t="s">
        <v>1011</v>
      </c>
      <c r="E592" s="143" t="s">
        <v>920</v>
      </c>
      <c r="F592" s="144" t="s">
        <v>921</v>
      </c>
      <c r="G592" s="143" t="s">
        <v>107</v>
      </c>
      <c r="H592" s="146">
        <v>3.7999999999999999E-2</v>
      </c>
      <c r="I592" s="146">
        <v>1.8159999999999999E-3</v>
      </c>
      <c r="J592" s="129">
        <v>27312000</v>
      </c>
      <c r="K592" s="129">
        <f>+J592*I592</f>
        <v>49598.591999999997</v>
      </c>
      <c r="L592" s="129"/>
      <c r="M592" s="129"/>
      <c r="N592" s="129">
        <f>+I592*J592</f>
        <v>49598.591999999997</v>
      </c>
      <c r="O592" s="129"/>
      <c r="P592" s="129"/>
    </row>
    <row r="593" spans="1:16" s="16" customFormat="1" x14ac:dyDescent="0.2">
      <c r="A593" s="1" t="s">
        <v>1385</v>
      </c>
      <c r="B593" s="1" t="s">
        <v>1386</v>
      </c>
      <c r="C593" s="1" t="s">
        <v>1399</v>
      </c>
      <c r="D593" s="142" t="s">
        <v>1012</v>
      </c>
      <c r="E593" s="143" t="s">
        <v>923</v>
      </c>
      <c r="F593" s="144" t="s">
        <v>924</v>
      </c>
      <c r="G593" s="143" t="s">
        <v>107</v>
      </c>
      <c r="H593" s="146">
        <v>2.8E-3</v>
      </c>
      <c r="I593" s="146">
        <v>1.34E-4</v>
      </c>
      <c r="J593" s="129">
        <v>30246000</v>
      </c>
      <c r="K593" s="129">
        <f>+J593*I593</f>
        <v>4052.9639999999999</v>
      </c>
      <c r="L593" s="129"/>
      <c r="M593" s="129"/>
      <c r="N593" s="129">
        <f>+I593*J593</f>
        <v>4052.9639999999999</v>
      </c>
      <c r="O593" s="129"/>
      <c r="P593" s="129"/>
    </row>
    <row r="594" spans="1:16" ht="15.75" x14ac:dyDescent="0.25">
      <c r="A594" s="1" t="s">
        <v>1385</v>
      </c>
      <c r="B594" s="1" t="s">
        <v>1386</v>
      </c>
      <c r="C594" s="1"/>
      <c r="D594" s="127" t="s">
        <v>1013</v>
      </c>
      <c r="E594" s="128"/>
      <c r="F594" s="128"/>
      <c r="G594" s="128"/>
      <c r="H594" s="128"/>
      <c r="I594" s="128"/>
      <c r="J594" s="129"/>
      <c r="K594" s="129"/>
      <c r="L594" s="129"/>
      <c r="M594" s="129"/>
      <c r="N594" s="129"/>
      <c r="O594" s="129"/>
      <c r="P594" s="129"/>
    </row>
    <row r="595" spans="1:16" s="1" customFormat="1" ht="25.5" customHeight="1" x14ac:dyDescent="0.2">
      <c r="A595" s="1" t="s">
        <v>1385</v>
      </c>
      <c r="B595" s="1" t="s">
        <v>1386</v>
      </c>
      <c r="C595" s="1" t="s">
        <v>1397</v>
      </c>
      <c r="D595" s="130" t="s">
        <v>1014</v>
      </c>
      <c r="E595" s="131" t="s">
        <v>1015</v>
      </c>
      <c r="F595" s="131" t="s">
        <v>1016</v>
      </c>
      <c r="G595" s="132" t="s">
        <v>21</v>
      </c>
      <c r="H595" s="133">
        <v>2.8672</v>
      </c>
      <c r="I595" s="133"/>
      <c r="J595" s="129"/>
      <c r="K595" s="129"/>
      <c r="L595" s="129"/>
      <c r="M595" s="129"/>
      <c r="N595" s="129"/>
      <c r="O595" s="129"/>
      <c r="P595" s="129"/>
    </row>
    <row r="596" spans="1:16" s="14" customFormat="1" x14ac:dyDescent="0.2">
      <c r="A596" s="1" t="s">
        <v>1385</v>
      </c>
      <c r="B596" s="1" t="s">
        <v>1386</v>
      </c>
      <c r="C596" s="1" t="s">
        <v>24</v>
      </c>
      <c r="D596" s="134" t="s">
        <v>1017</v>
      </c>
      <c r="E596" s="135" t="s">
        <v>18</v>
      </c>
      <c r="F596" s="136" t="s">
        <v>23</v>
      </c>
      <c r="G596" s="135" t="s">
        <v>24</v>
      </c>
      <c r="H596" s="137">
        <v>27.22</v>
      </c>
      <c r="I596" s="137">
        <v>78.045199999999994</v>
      </c>
      <c r="J596" s="129">
        <v>22914.53</v>
      </c>
      <c r="K596" s="129">
        <f t="shared" ref="K596:K601" si="43">+J596*I596</f>
        <v>1788369.0767559998</v>
      </c>
      <c r="L596" s="129">
        <f>+I596*J596</f>
        <v>1788369.0767559998</v>
      </c>
      <c r="M596" s="129"/>
      <c r="N596" s="129"/>
      <c r="O596" s="129"/>
      <c r="P596" s="129"/>
    </row>
    <row r="597" spans="1:16" s="15" customFormat="1" x14ac:dyDescent="0.2">
      <c r="A597" s="1" t="s">
        <v>1385</v>
      </c>
      <c r="B597" s="1" t="s">
        <v>1386</v>
      </c>
      <c r="C597" s="1" t="s">
        <v>28</v>
      </c>
      <c r="D597" s="138" t="s">
        <v>1018</v>
      </c>
      <c r="E597" s="139" t="s">
        <v>262</v>
      </c>
      <c r="F597" s="140" t="s">
        <v>263</v>
      </c>
      <c r="G597" s="139" t="s">
        <v>28</v>
      </c>
      <c r="H597" s="141">
        <v>1.26</v>
      </c>
      <c r="I597" s="141">
        <v>3.6126999999999998</v>
      </c>
      <c r="J597" s="129">
        <v>140201</v>
      </c>
      <c r="K597" s="129">
        <f t="shared" si="43"/>
        <v>506504.15269999998</v>
      </c>
      <c r="L597" s="129"/>
      <c r="M597" s="129">
        <f>+J597*I597</f>
        <v>506504.15269999998</v>
      </c>
      <c r="N597" s="129"/>
      <c r="O597" s="129"/>
      <c r="P597" s="129"/>
    </row>
    <row r="598" spans="1:16" s="15" customFormat="1" ht="24" x14ac:dyDescent="0.2">
      <c r="A598" s="1" t="s">
        <v>1385</v>
      </c>
      <c r="B598" s="1" t="s">
        <v>1386</v>
      </c>
      <c r="C598" s="1" t="s">
        <v>28</v>
      </c>
      <c r="D598" s="138" t="s">
        <v>1019</v>
      </c>
      <c r="E598" s="139" t="s">
        <v>1020</v>
      </c>
      <c r="F598" s="140" t="s">
        <v>1021</v>
      </c>
      <c r="G598" s="139" t="s">
        <v>28</v>
      </c>
      <c r="H598" s="141">
        <v>2.36</v>
      </c>
      <c r="I598" s="141">
        <v>6.7666000000000004</v>
      </c>
      <c r="J598" s="129">
        <v>8322</v>
      </c>
      <c r="K598" s="129">
        <f t="shared" si="43"/>
        <v>56311.645200000006</v>
      </c>
      <c r="L598" s="129"/>
      <c r="M598" s="129">
        <f>+J598*I598</f>
        <v>56311.645200000006</v>
      </c>
      <c r="N598" s="129"/>
      <c r="O598" s="129"/>
      <c r="P598" s="129"/>
    </row>
    <row r="599" spans="1:16" s="15" customFormat="1" ht="24" x14ac:dyDescent="0.2">
      <c r="A599" s="1" t="s">
        <v>1385</v>
      </c>
      <c r="B599" s="1" t="s">
        <v>1386</v>
      </c>
      <c r="C599" s="1" t="s">
        <v>28</v>
      </c>
      <c r="D599" s="138" t="s">
        <v>1022</v>
      </c>
      <c r="E599" s="139" t="s">
        <v>876</v>
      </c>
      <c r="F599" s="140" t="s">
        <v>877</v>
      </c>
      <c r="G599" s="139" t="s">
        <v>28</v>
      </c>
      <c r="H599" s="141">
        <v>0.68</v>
      </c>
      <c r="I599" s="141">
        <v>1.9497</v>
      </c>
      <c r="J599" s="129">
        <v>239461</v>
      </c>
      <c r="K599" s="129">
        <f t="shared" si="43"/>
        <v>466877.11170000001</v>
      </c>
      <c r="L599" s="129"/>
      <c r="M599" s="129">
        <f>+J599*I599</f>
        <v>466877.11170000001</v>
      </c>
      <c r="N599" s="129"/>
      <c r="O599" s="129"/>
      <c r="P599" s="129"/>
    </row>
    <row r="600" spans="1:16" s="16" customFormat="1" x14ac:dyDescent="0.2">
      <c r="A600" s="1" t="s">
        <v>1385</v>
      </c>
      <c r="B600" s="1" t="s">
        <v>1386</v>
      </c>
      <c r="C600" s="1" t="s">
        <v>1399</v>
      </c>
      <c r="D600" s="142" t="s">
        <v>1023</v>
      </c>
      <c r="E600" s="143" t="s">
        <v>841</v>
      </c>
      <c r="F600" s="144" t="s">
        <v>842</v>
      </c>
      <c r="G600" s="143" t="s">
        <v>420</v>
      </c>
      <c r="H600" s="146">
        <v>1.53</v>
      </c>
      <c r="I600" s="146">
        <v>4.3868</v>
      </c>
      <c r="J600" s="129">
        <v>484821</v>
      </c>
      <c r="K600" s="129">
        <f t="shared" si="43"/>
        <v>2126812.7628000001</v>
      </c>
      <c r="L600" s="129"/>
      <c r="M600" s="129"/>
      <c r="N600" s="129">
        <f>+I600*J600</f>
        <v>2126812.7628000001</v>
      </c>
      <c r="O600" s="129"/>
      <c r="P600" s="129"/>
    </row>
    <row r="601" spans="1:16" s="16" customFormat="1" ht="24" x14ac:dyDescent="0.2">
      <c r="A601" s="1" t="s">
        <v>1385</v>
      </c>
      <c r="B601" s="1" t="s">
        <v>1386</v>
      </c>
      <c r="C601" s="1" t="s">
        <v>1399</v>
      </c>
      <c r="D601" s="142" t="s">
        <v>1024</v>
      </c>
      <c r="E601" s="143" t="s">
        <v>1025</v>
      </c>
      <c r="F601" s="144" t="s">
        <v>1026</v>
      </c>
      <c r="G601" s="143" t="s">
        <v>38</v>
      </c>
      <c r="H601" s="146">
        <v>4.4000000000000004</v>
      </c>
      <c r="I601" s="146">
        <v>12.6157</v>
      </c>
      <c r="J601" s="129">
        <v>3500</v>
      </c>
      <c r="K601" s="129">
        <f t="shared" si="43"/>
        <v>44154.950000000004</v>
      </c>
      <c r="L601" s="129"/>
      <c r="M601" s="129"/>
      <c r="N601" s="129">
        <f>+I601*J601</f>
        <v>44154.950000000004</v>
      </c>
      <c r="O601" s="129"/>
      <c r="P601" s="129"/>
    </row>
    <row r="602" spans="1:16" s="1" customFormat="1" ht="26.25" customHeight="1" x14ac:dyDescent="0.2">
      <c r="A602" s="1" t="s">
        <v>1385</v>
      </c>
      <c r="B602" s="1" t="s">
        <v>1386</v>
      </c>
      <c r="C602" s="1" t="s">
        <v>1397</v>
      </c>
      <c r="D602" s="130" t="s">
        <v>1027</v>
      </c>
      <c r="E602" s="131" t="s">
        <v>1028</v>
      </c>
      <c r="F602" s="131" t="s">
        <v>1029</v>
      </c>
      <c r="G602" s="132" t="s">
        <v>21</v>
      </c>
      <c r="H602" s="133">
        <v>2.8672</v>
      </c>
      <c r="I602" s="133"/>
      <c r="J602" s="129"/>
      <c r="K602" s="129"/>
      <c r="L602" s="129"/>
      <c r="M602" s="129"/>
      <c r="N602" s="129"/>
      <c r="O602" s="129"/>
      <c r="P602" s="129"/>
    </row>
    <row r="603" spans="1:16" s="14" customFormat="1" x14ac:dyDescent="0.2">
      <c r="A603" s="1" t="s">
        <v>1385</v>
      </c>
      <c r="B603" s="1" t="s">
        <v>1386</v>
      </c>
      <c r="C603" s="1" t="s">
        <v>24</v>
      </c>
      <c r="D603" s="134" t="s">
        <v>1030</v>
      </c>
      <c r="E603" s="135" t="s">
        <v>18</v>
      </c>
      <c r="F603" s="136" t="s">
        <v>23</v>
      </c>
      <c r="G603" s="135" t="s">
        <v>24</v>
      </c>
      <c r="H603" s="137">
        <v>0.5</v>
      </c>
      <c r="I603" s="137">
        <v>1.4336</v>
      </c>
      <c r="J603" s="129">
        <v>22914.53</v>
      </c>
      <c r="K603" s="129">
        <f>+J603*I603</f>
        <v>32850.270207999994</v>
      </c>
      <c r="L603" s="129">
        <f>+I603*J603</f>
        <v>32850.270207999994</v>
      </c>
      <c r="M603" s="129"/>
      <c r="N603" s="129"/>
      <c r="O603" s="129"/>
      <c r="P603" s="129"/>
    </row>
    <row r="604" spans="1:16" s="15" customFormat="1" x14ac:dyDescent="0.2">
      <c r="A604" s="1" t="s">
        <v>1385</v>
      </c>
      <c r="B604" s="1" t="s">
        <v>1386</v>
      </c>
      <c r="C604" s="1" t="s">
        <v>28</v>
      </c>
      <c r="D604" s="138" t="s">
        <v>1031</v>
      </c>
      <c r="E604" s="139" t="s">
        <v>262</v>
      </c>
      <c r="F604" s="140" t="s">
        <v>263</v>
      </c>
      <c r="G604" s="139" t="s">
        <v>28</v>
      </c>
      <c r="H604" s="141">
        <v>0.1</v>
      </c>
      <c r="I604" s="141">
        <v>0.28671999999999997</v>
      </c>
      <c r="J604" s="129">
        <v>140201</v>
      </c>
      <c r="K604" s="129">
        <f>+J604*I604</f>
        <v>40198.430719999997</v>
      </c>
      <c r="L604" s="129"/>
      <c r="M604" s="129">
        <f>+J604*I604</f>
        <v>40198.430719999997</v>
      </c>
      <c r="N604" s="129"/>
      <c r="O604" s="129"/>
      <c r="P604" s="129"/>
    </row>
    <row r="605" spans="1:16" s="15" customFormat="1" ht="24" x14ac:dyDescent="0.2">
      <c r="A605" s="1" t="s">
        <v>1385</v>
      </c>
      <c r="B605" s="1" t="s">
        <v>1386</v>
      </c>
      <c r="C605" s="1" t="s">
        <v>28</v>
      </c>
      <c r="D605" s="138" t="s">
        <v>1032</v>
      </c>
      <c r="E605" s="139" t="s">
        <v>876</v>
      </c>
      <c r="F605" s="140" t="s">
        <v>877</v>
      </c>
      <c r="G605" s="139" t="s">
        <v>28</v>
      </c>
      <c r="H605" s="141">
        <v>0.05</v>
      </c>
      <c r="I605" s="141">
        <v>0.14335999999999999</v>
      </c>
      <c r="J605" s="129">
        <v>239461</v>
      </c>
      <c r="K605" s="129">
        <f>+J605*I605</f>
        <v>34329.128959999995</v>
      </c>
      <c r="L605" s="129"/>
      <c r="M605" s="129">
        <f>+J605*I605</f>
        <v>34329.128959999995</v>
      </c>
      <c r="N605" s="129"/>
      <c r="O605" s="129"/>
      <c r="P605" s="129"/>
    </row>
    <row r="606" spans="1:16" s="16" customFormat="1" x14ac:dyDescent="0.2">
      <c r="A606" s="1" t="s">
        <v>1385</v>
      </c>
      <c r="B606" s="1" t="s">
        <v>1386</v>
      </c>
      <c r="C606" s="1" t="s">
        <v>1399</v>
      </c>
      <c r="D606" s="142" t="s">
        <v>1033</v>
      </c>
      <c r="E606" s="143" t="s">
        <v>841</v>
      </c>
      <c r="F606" s="144" t="s">
        <v>842</v>
      </c>
      <c r="G606" s="143" t="s">
        <v>420</v>
      </c>
      <c r="H606" s="146">
        <v>0.51</v>
      </c>
      <c r="I606" s="146">
        <v>1.4622999999999999</v>
      </c>
      <c r="J606" s="129">
        <v>484821</v>
      </c>
      <c r="K606" s="129">
        <f>+J606*I606</f>
        <v>708953.74829999998</v>
      </c>
      <c r="L606" s="129"/>
      <c r="M606" s="129"/>
      <c r="N606" s="129">
        <f>+I606*J606</f>
        <v>708953.74829999998</v>
      </c>
      <c r="O606" s="129"/>
      <c r="P606" s="129"/>
    </row>
    <row r="607" spans="1:16" s="1" customFormat="1" x14ac:dyDescent="0.2">
      <c r="A607" s="1" t="s">
        <v>1385</v>
      </c>
      <c r="B607" s="1" t="s">
        <v>1386</v>
      </c>
      <c r="C607" s="1" t="s">
        <v>1399</v>
      </c>
      <c r="D607" s="130" t="s">
        <v>1034</v>
      </c>
      <c r="E607" s="131" t="s">
        <v>1035</v>
      </c>
      <c r="F607" s="131" t="s">
        <v>1036</v>
      </c>
      <c r="G607" s="132" t="s">
        <v>38</v>
      </c>
      <c r="H607" s="133">
        <v>286.72000000000003</v>
      </c>
      <c r="I607" s="133">
        <f>+H607</f>
        <v>286.72000000000003</v>
      </c>
      <c r="J607" s="129">
        <v>2500</v>
      </c>
      <c r="K607" s="129">
        <f>+J607*I607</f>
        <v>716800.00000000012</v>
      </c>
      <c r="L607" s="129"/>
      <c r="M607" s="129"/>
      <c r="N607" s="129">
        <f>+J607*I607</f>
        <v>716800.00000000012</v>
      </c>
      <c r="O607" s="129"/>
      <c r="P607" s="129"/>
    </row>
    <row r="608" spans="1:16" s="1" customFormat="1" ht="50.25" customHeight="1" x14ac:dyDescent="0.2">
      <c r="A608" s="1" t="s">
        <v>1385</v>
      </c>
      <c r="B608" s="1" t="s">
        <v>1386</v>
      </c>
      <c r="C608" s="1" t="s">
        <v>1397</v>
      </c>
      <c r="D608" s="130" t="s">
        <v>1037</v>
      </c>
      <c r="E608" s="131" t="s">
        <v>1038</v>
      </c>
      <c r="F608" s="131" t="s">
        <v>1039</v>
      </c>
      <c r="G608" s="132" t="s">
        <v>2306</v>
      </c>
      <c r="H608" s="133">
        <v>28.672000000000001</v>
      </c>
      <c r="I608" s="133"/>
      <c r="J608" s="129"/>
      <c r="K608" s="129"/>
      <c r="L608" s="129"/>
      <c r="M608" s="129"/>
      <c r="N608" s="129"/>
      <c r="O608" s="129"/>
      <c r="P608" s="129"/>
    </row>
    <row r="609" spans="1:16" s="14" customFormat="1" x14ac:dyDescent="0.2">
      <c r="A609" s="1" t="s">
        <v>1385</v>
      </c>
      <c r="B609" s="1" t="s">
        <v>1386</v>
      </c>
      <c r="C609" s="1" t="s">
        <v>24</v>
      </c>
      <c r="D609" s="134" t="s">
        <v>1040</v>
      </c>
      <c r="E609" s="135" t="s">
        <v>18</v>
      </c>
      <c r="F609" s="136" t="s">
        <v>23</v>
      </c>
      <c r="G609" s="135" t="s">
        <v>24</v>
      </c>
      <c r="H609" s="137">
        <v>7.9349999999999996</v>
      </c>
      <c r="I609" s="137">
        <v>227.51230000000001</v>
      </c>
      <c r="J609" s="129">
        <v>22914.53</v>
      </c>
      <c r="K609" s="129">
        <f>+J609*I609</f>
        <v>5213337.4237190001</v>
      </c>
      <c r="L609" s="129">
        <f>+I609*J609</f>
        <v>5213337.4237190001</v>
      </c>
      <c r="M609" s="129"/>
      <c r="N609" s="129"/>
      <c r="O609" s="129"/>
      <c r="P609" s="129"/>
    </row>
    <row r="610" spans="1:16" s="15" customFormat="1" x14ac:dyDescent="0.2">
      <c r="A610" s="1" t="s">
        <v>1385</v>
      </c>
      <c r="B610" s="1" t="s">
        <v>1386</v>
      </c>
      <c r="C610" s="1" t="s">
        <v>28</v>
      </c>
      <c r="D610" s="138" t="s">
        <v>1041</v>
      </c>
      <c r="E610" s="139" t="s">
        <v>30</v>
      </c>
      <c r="F610" s="140" t="s">
        <v>31</v>
      </c>
      <c r="G610" s="139" t="s">
        <v>28</v>
      </c>
      <c r="H610" s="141">
        <v>0.6</v>
      </c>
      <c r="I610" s="141">
        <v>17.203199999999999</v>
      </c>
      <c r="J610" s="129">
        <v>106655</v>
      </c>
      <c r="K610" s="129">
        <f>+J610*I610</f>
        <v>1834807.2959999999</v>
      </c>
      <c r="L610" s="129"/>
      <c r="M610" s="129">
        <f>+J610*I610</f>
        <v>1834807.2959999999</v>
      </c>
      <c r="N610" s="129"/>
      <c r="O610" s="129"/>
      <c r="P610" s="129"/>
    </row>
    <row r="611" spans="1:16" s="1" customFormat="1" x14ac:dyDescent="0.2">
      <c r="A611" s="1" t="s">
        <v>1385</v>
      </c>
      <c r="B611" s="1" t="s">
        <v>1386</v>
      </c>
      <c r="C611" s="1" t="s">
        <v>1399</v>
      </c>
      <c r="D611" s="130" t="s">
        <v>1042</v>
      </c>
      <c r="E611" s="131" t="s">
        <v>1043</v>
      </c>
      <c r="F611" s="131" t="s">
        <v>1044</v>
      </c>
      <c r="G611" s="132" t="s">
        <v>38</v>
      </c>
      <c r="H611" s="133">
        <v>286.72000000000003</v>
      </c>
      <c r="I611" s="133">
        <f>+H611</f>
        <v>286.72000000000003</v>
      </c>
      <c r="J611" s="129">
        <v>113438</v>
      </c>
      <c r="K611" s="129">
        <f>+J611*I611</f>
        <v>32524943.360000003</v>
      </c>
      <c r="L611" s="129"/>
      <c r="M611" s="129"/>
      <c r="N611" s="129">
        <f>+J611*I611</f>
        <v>32524943.360000003</v>
      </c>
      <c r="O611" s="129"/>
      <c r="P611" s="129"/>
    </row>
    <row r="612" spans="1:16" s="1" customFormat="1" ht="25.5" x14ac:dyDescent="0.2">
      <c r="A612" s="1" t="s">
        <v>1385</v>
      </c>
      <c r="B612" s="1" t="s">
        <v>1386</v>
      </c>
      <c r="C612" s="1" t="s">
        <v>1397</v>
      </c>
      <c r="D612" s="130" t="s">
        <v>1045</v>
      </c>
      <c r="E612" s="131" t="s">
        <v>1046</v>
      </c>
      <c r="F612" s="131" t="s">
        <v>1047</v>
      </c>
      <c r="G612" s="132" t="s">
        <v>21</v>
      </c>
      <c r="H612" s="133">
        <v>2.8672</v>
      </c>
      <c r="I612" s="133"/>
      <c r="J612" s="129"/>
      <c r="K612" s="129"/>
      <c r="L612" s="129"/>
      <c r="M612" s="129"/>
      <c r="N612" s="129"/>
      <c r="O612" s="129"/>
      <c r="P612" s="129"/>
    </row>
    <row r="613" spans="1:16" s="14" customFormat="1" x14ac:dyDescent="0.2">
      <c r="A613" s="1" t="s">
        <v>1385</v>
      </c>
      <c r="B613" s="1" t="s">
        <v>1386</v>
      </c>
      <c r="C613" s="1" t="s">
        <v>24</v>
      </c>
      <c r="D613" s="134" t="s">
        <v>1048</v>
      </c>
      <c r="E613" s="135" t="s">
        <v>18</v>
      </c>
      <c r="F613" s="136" t="s">
        <v>23</v>
      </c>
      <c r="G613" s="135" t="s">
        <v>24</v>
      </c>
      <c r="H613" s="137">
        <v>1.82</v>
      </c>
      <c r="I613" s="137">
        <v>5.2183000000000002</v>
      </c>
      <c r="J613" s="129">
        <v>22914.53</v>
      </c>
      <c r="K613" s="129">
        <f>+J613*I613</f>
        <v>119574.89189899999</v>
      </c>
      <c r="L613" s="129">
        <f>+I613*J613</f>
        <v>119574.89189899999</v>
      </c>
      <c r="M613" s="129"/>
      <c r="N613" s="129"/>
      <c r="O613" s="129"/>
      <c r="P613" s="129"/>
    </row>
    <row r="614" spans="1:16" s="15" customFormat="1" ht="24" x14ac:dyDescent="0.2">
      <c r="A614" s="1" t="s">
        <v>1385</v>
      </c>
      <c r="B614" s="1" t="s">
        <v>1386</v>
      </c>
      <c r="C614" s="1" t="s">
        <v>28</v>
      </c>
      <c r="D614" s="138" t="s">
        <v>1049</v>
      </c>
      <c r="E614" s="139" t="s">
        <v>876</v>
      </c>
      <c r="F614" s="140" t="s">
        <v>877</v>
      </c>
      <c r="G614" s="139" t="s">
        <v>28</v>
      </c>
      <c r="H614" s="141">
        <v>0.03</v>
      </c>
      <c r="I614" s="141">
        <v>8.6015999999999995E-2</v>
      </c>
      <c r="J614" s="129">
        <v>239461</v>
      </c>
      <c r="K614" s="129">
        <f>+J614*I614</f>
        <v>20597.477375999999</v>
      </c>
      <c r="L614" s="129"/>
      <c r="M614" s="129">
        <f>+J614*I614</f>
        <v>20597.477375999999</v>
      </c>
      <c r="N614" s="129"/>
      <c r="O614" s="129"/>
      <c r="P614" s="129"/>
    </row>
    <row r="615" spans="1:16" s="15" customFormat="1" x14ac:dyDescent="0.2">
      <c r="A615" s="1" t="s">
        <v>1385</v>
      </c>
      <c r="B615" s="1" t="s">
        <v>1386</v>
      </c>
      <c r="C615" s="1" t="s">
        <v>28</v>
      </c>
      <c r="D615" s="138" t="s">
        <v>1050</v>
      </c>
      <c r="E615" s="139" t="s">
        <v>30</v>
      </c>
      <c r="F615" s="140" t="s">
        <v>31</v>
      </c>
      <c r="G615" s="139" t="s">
        <v>28</v>
      </c>
      <c r="H615" s="141">
        <v>0.03</v>
      </c>
      <c r="I615" s="141">
        <v>8.6015999999999995E-2</v>
      </c>
      <c r="J615" s="129">
        <v>106655</v>
      </c>
      <c r="K615" s="129">
        <f>+J615*I615</f>
        <v>9174.0364799999988</v>
      </c>
      <c r="L615" s="129"/>
      <c r="M615" s="129">
        <f>+J615*I615</f>
        <v>9174.0364799999988</v>
      </c>
      <c r="N615" s="129"/>
      <c r="O615" s="129"/>
      <c r="P615" s="129"/>
    </row>
    <row r="616" spans="1:16" s="16" customFormat="1" ht="36" x14ac:dyDescent="0.2">
      <c r="A616" s="1" t="s">
        <v>1385</v>
      </c>
      <c r="B616" s="1" t="s">
        <v>1386</v>
      </c>
      <c r="C616" s="1" t="s">
        <v>1399</v>
      </c>
      <c r="D616" s="142" t="s">
        <v>1051</v>
      </c>
      <c r="E616" s="143" t="s">
        <v>1052</v>
      </c>
      <c r="F616" s="144" t="s">
        <v>1053</v>
      </c>
      <c r="G616" s="143" t="s">
        <v>38</v>
      </c>
      <c r="H616" s="146">
        <v>114.1</v>
      </c>
      <c r="I616" s="146">
        <v>327.14749999999998</v>
      </c>
      <c r="J616" s="129">
        <v>12000</v>
      </c>
      <c r="K616" s="129">
        <f>+J616*I616</f>
        <v>3925769.9999999995</v>
      </c>
      <c r="L616" s="129"/>
      <c r="M616" s="129"/>
      <c r="N616" s="129">
        <f>+I616*J616</f>
        <v>3925769.9999999995</v>
      </c>
      <c r="O616" s="129"/>
      <c r="P616" s="129"/>
    </row>
    <row r="617" spans="1:16" s="1" customFormat="1" ht="27" customHeight="1" x14ac:dyDescent="0.2">
      <c r="A617" s="1" t="s">
        <v>1385</v>
      </c>
      <c r="B617" s="1" t="s">
        <v>1386</v>
      </c>
      <c r="C617" s="1" t="s">
        <v>1397</v>
      </c>
      <c r="D617" s="130" t="s">
        <v>1054</v>
      </c>
      <c r="E617" s="131" t="s">
        <v>1015</v>
      </c>
      <c r="F617" s="131" t="s">
        <v>1016</v>
      </c>
      <c r="G617" s="132" t="s">
        <v>21</v>
      </c>
      <c r="H617" s="133">
        <v>2.8672</v>
      </c>
      <c r="I617" s="133"/>
      <c r="J617" s="129"/>
      <c r="K617" s="129"/>
      <c r="L617" s="129"/>
      <c r="M617" s="129"/>
      <c r="N617" s="129"/>
      <c r="O617" s="129"/>
      <c r="P617" s="129"/>
    </row>
    <row r="618" spans="1:16" s="14" customFormat="1" x14ac:dyDescent="0.2">
      <c r="A618" s="1" t="s">
        <v>1385</v>
      </c>
      <c r="B618" s="1" t="s">
        <v>1386</v>
      </c>
      <c r="C618" s="1" t="s">
        <v>24</v>
      </c>
      <c r="D618" s="134" t="s">
        <v>1055</v>
      </c>
      <c r="E618" s="135" t="s">
        <v>18</v>
      </c>
      <c r="F618" s="136" t="s">
        <v>23</v>
      </c>
      <c r="G618" s="135" t="s">
        <v>24</v>
      </c>
      <c r="H618" s="137">
        <v>27.22</v>
      </c>
      <c r="I618" s="137">
        <v>78.045199999999994</v>
      </c>
      <c r="J618" s="129">
        <v>22914.53</v>
      </c>
      <c r="K618" s="129">
        <f t="shared" ref="K618:K623" si="44">+J618*I618</f>
        <v>1788369.0767559998</v>
      </c>
      <c r="L618" s="129">
        <f>+I618*J618</f>
        <v>1788369.0767559998</v>
      </c>
      <c r="M618" s="129"/>
      <c r="N618" s="129"/>
      <c r="O618" s="129"/>
      <c r="P618" s="129"/>
    </row>
    <row r="619" spans="1:16" s="15" customFormat="1" x14ac:dyDescent="0.2">
      <c r="A619" s="1" t="s">
        <v>1385</v>
      </c>
      <c r="B619" s="1" t="s">
        <v>1386</v>
      </c>
      <c r="C619" s="1" t="s">
        <v>28</v>
      </c>
      <c r="D619" s="138" t="s">
        <v>1056</v>
      </c>
      <c r="E619" s="139" t="s">
        <v>262</v>
      </c>
      <c r="F619" s="140" t="s">
        <v>263</v>
      </c>
      <c r="G619" s="139" t="s">
        <v>28</v>
      </c>
      <c r="H619" s="141">
        <v>1.26</v>
      </c>
      <c r="I619" s="141">
        <v>3.6126999999999998</v>
      </c>
      <c r="J619" s="129">
        <v>140201</v>
      </c>
      <c r="K619" s="129">
        <f t="shared" si="44"/>
        <v>506504.15269999998</v>
      </c>
      <c r="L619" s="129"/>
      <c r="M619" s="129">
        <f>+J619*I619</f>
        <v>506504.15269999998</v>
      </c>
      <c r="N619" s="129"/>
      <c r="O619" s="129"/>
      <c r="P619" s="129"/>
    </row>
    <row r="620" spans="1:16" s="15" customFormat="1" ht="24" x14ac:dyDescent="0.2">
      <c r="A620" s="1" t="s">
        <v>1385</v>
      </c>
      <c r="B620" s="1" t="s">
        <v>1386</v>
      </c>
      <c r="C620" s="1" t="s">
        <v>28</v>
      </c>
      <c r="D620" s="138" t="s">
        <v>1057</v>
      </c>
      <c r="E620" s="139" t="s">
        <v>1020</v>
      </c>
      <c r="F620" s="140" t="s">
        <v>1021</v>
      </c>
      <c r="G620" s="139" t="s">
        <v>28</v>
      </c>
      <c r="H620" s="141">
        <v>2.36</v>
      </c>
      <c r="I620" s="141">
        <v>6.7666000000000004</v>
      </c>
      <c r="J620" s="129">
        <v>8322</v>
      </c>
      <c r="K620" s="129">
        <f t="shared" si="44"/>
        <v>56311.645200000006</v>
      </c>
      <c r="L620" s="129"/>
      <c r="M620" s="129">
        <f>+J620*I620</f>
        <v>56311.645200000006</v>
      </c>
      <c r="N620" s="129"/>
      <c r="O620" s="129"/>
      <c r="P620" s="129"/>
    </row>
    <row r="621" spans="1:16" s="15" customFormat="1" ht="24" x14ac:dyDescent="0.2">
      <c r="A621" s="1" t="s">
        <v>1385</v>
      </c>
      <c r="B621" s="1" t="s">
        <v>1386</v>
      </c>
      <c r="C621" s="1" t="s">
        <v>28</v>
      </c>
      <c r="D621" s="138" t="s">
        <v>1058</v>
      </c>
      <c r="E621" s="139" t="s">
        <v>876</v>
      </c>
      <c r="F621" s="140" t="s">
        <v>877</v>
      </c>
      <c r="G621" s="139" t="s">
        <v>28</v>
      </c>
      <c r="H621" s="141">
        <v>0.68</v>
      </c>
      <c r="I621" s="141">
        <v>1.9497</v>
      </c>
      <c r="J621" s="129">
        <v>239461</v>
      </c>
      <c r="K621" s="129">
        <f t="shared" si="44"/>
        <v>466877.11170000001</v>
      </c>
      <c r="L621" s="129"/>
      <c r="M621" s="129">
        <f>+J621*I621</f>
        <v>466877.11170000001</v>
      </c>
      <c r="N621" s="129"/>
      <c r="O621" s="129"/>
      <c r="P621" s="129"/>
    </row>
    <row r="622" spans="1:16" s="16" customFormat="1" x14ac:dyDescent="0.2">
      <c r="A622" s="1" t="s">
        <v>1385</v>
      </c>
      <c r="B622" s="1" t="s">
        <v>1386</v>
      </c>
      <c r="C622" s="1" t="s">
        <v>1399</v>
      </c>
      <c r="D622" s="142" t="s">
        <v>1059</v>
      </c>
      <c r="E622" s="143" t="s">
        <v>448</v>
      </c>
      <c r="F622" s="144" t="s">
        <v>449</v>
      </c>
      <c r="G622" s="143" t="s">
        <v>420</v>
      </c>
      <c r="H622" s="146">
        <v>1.53</v>
      </c>
      <c r="I622" s="146">
        <v>4.3868</v>
      </c>
      <c r="J622" s="129">
        <v>484821</v>
      </c>
      <c r="K622" s="129">
        <f t="shared" si="44"/>
        <v>2126812.7628000001</v>
      </c>
      <c r="L622" s="129"/>
      <c r="M622" s="129"/>
      <c r="N622" s="129">
        <f>+I622*J622</f>
        <v>2126812.7628000001</v>
      </c>
      <c r="O622" s="129"/>
      <c r="P622" s="129"/>
    </row>
    <row r="623" spans="1:16" s="16" customFormat="1" ht="24" x14ac:dyDescent="0.2">
      <c r="A623" s="1" t="s">
        <v>1385</v>
      </c>
      <c r="B623" s="1" t="s">
        <v>1386</v>
      </c>
      <c r="C623" s="1" t="s">
        <v>1399</v>
      </c>
      <c r="D623" s="142" t="s">
        <v>1060</v>
      </c>
      <c r="E623" s="143" t="s">
        <v>1025</v>
      </c>
      <c r="F623" s="144" t="s">
        <v>1026</v>
      </c>
      <c r="G623" s="143" t="s">
        <v>38</v>
      </c>
      <c r="H623" s="146">
        <v>4.4000000000000004</v>
      </c>
      <c r="I623" s="146">
        <v>12.6157</v>
      </c>
      <c r="J623" s="129">
        <v>3500</v>
      </c>
      <c r="K623" s="129">
        <f t="shared" si="44"/>
        <v>44154.950000000004</v>
      </c>
      <c r="L623" s="129"/>
      <c r="M623" s="129"/>
      <c r="N623" s="129">
        <f>+I623*J623</f>
        <v>44154.950000000004</v>
      </c>
      <c r="O623" s="129"/>
      <c r="P623" s="129"/>
    </row>
    <row r="624" spans="1:16" s="1" customFormat="1" ht="27.75" customHeight="1" x14ac:dyDescent="0.2">
      <c r="A624" s="1" t="s">
        <v>1385</v>
      </c>
      <c r="B624" s="1" t="s">
        <v>1386</v>
      </c>
      <c r="C624" s="1" t="s">
        <v>1397</v>
      </c>
      <c r="D624" s="130" t="s">
        <v>1061</v>
      </c>
      <c r="E624" s="131" t="s">
        <v>1062</v>
      </c>
      <c r="F624" s="131" t="s">
        <v>1029</v>
      </c>
      <c r="G624" s="132" t="s">
        <v>21</v>
      </c>
      <c r="H624" s="133">
        <v>2.8672</v>
      </c>
      <c r="I624" s="133"/>
      <c r="J624" s="129"/>
      <c r="K624" s="129"/>
      <c r="L624" s="129"/>
      <c r="M624" s="129"/>
      <c r="N624" s="129"/>
      <c r="O624" s="129"/>
      <c r="P624" s="129"/>
    </row>
    <row r="625" spans="1:16" s="14" customFormat="1" x14ac:dyDescent="0.2">
      <c r="A625" s="1" t="s">
        <v>1385</v>
      </c>
      <c r="B625" s="1" t="s">
        <v>1386</v>
      </c>
      <c r="C625" s="1" t="s">
        <v>24</v>
      </c>
      <c r="D625" s="134" t="s">
        <v>1063</v>
      </c>
      <c r="E625" s="135" t="s">
        <v>18</v>
      </c>
      <c r="F625" s="136" t="s">
        <v>23</v>
      </c>
      <c r="G625" s="135" t="s">
        <v>24</v>
      </c>
      <c r="H625" s="137">
        <v>3.5</v>
      </c>
      <c r="I625" s="137">
        <v>10.0352</v>
      </c>
      <c r="J625" s="129">
        <v>22914.53</v>
      </c>
      <c r="K625" s="129">
        <f>+J625*I625</f>
        <v>229951.89145599998</v>
      </c>
      <c r="L625" s="129">
        <f>+I625*J625</f>
        <v>229951.89145599998</v>
      </c>
      <c r="M625" s="129"/>
      <c r="N625" s="129"/>
      <c r="O625" s="129"/>
      <c r="P625" s="129"/>
    </row>
    <row r="626" spans="1:16" s="15" customFormat="1" x14ac:dyDescent="0.2">
      <c r="A626" s="1" t="s">
        <v>1385</v>
      </c>
      <c r="B626" s="1" t="s">
        <v>1386</v>
      </c>
      <c r="C626" s="1" t="s">
        <v>28</v>
      </c>
      <c r="D626" s="138" t="s">
        <v>1064</v>
      </c>
      <c r="E626" s="139" t="s">
        <v>262</v>
      </c>
      <c r="F626" s="140" t="s">
        <v>263</v>
      </c>
      <c r="G626" s="139" t="s">
        <v>28</v>
      </c>
      <c r="H626" s="141">
        <v>0.7</v>
      </c>
      <c r="I626" s="141">
        <v>2.0070000000000001</v>
      </c>
      <c r="J626" s="129">
        <v>140201</v>
      </c>
      <c r="K626" s="129">
        <f>+J626*I626</f>
        <v>281383.40700000001</v>
      </c>
      <c r="L626" s="129"/>
      <c r="M626" s="129">
        <f>+J626*I626</f>
        <v>281383.40700000001</v>
      </c>
      <c r="N626" s="129"/>
      <c r="O626" s="129"/>
      <c r="P626" s="129"/>
    </row>
    <row r="627" spans="1:16" s="15" customFormat="1" ht="24" x14ac:dyDescent="0.2">
      <c r="A627" s="1" t="s">
        <v>1385</v>
      </c>
      <c r="B627" s="1" t="s">
        <v>1386</v>
      </c>
      <c r="C627" s="1" t="s">
        <v>28</v>
      </c>
      <c r="D627" s="138" t="s">
        <v>1065</v>
      </c>
      <c r="E627" s="139" t="s">
        <v>876</v>
      </c>
      <c r="F627" s="140" t="s">
        <v>877</v>
      </c>
      <c r="G627" s="139" t="s">
        <v>28</v>
      </c>
      <c r="H627" s="141">
        <v>0.35</v>
      </c>
      <c r="I627" s="141">
        <v>1.0035000000000001</v>
      </c>
      <c r="J627" s="129">
        <v>239461</v>
      </c>
      <c r="K627" s="129">
        <f>+J627*I627</f>
        <v>240299.11350000001</v>
      </c>
      <c r="L627" s="129"/>
      <c r="M627" s="129">
        <f>+J627*I627</f>
        <v>240299.11350000001</v>
      </c>
      <c r="N627" s="129"/>
      <c r="O627" s="129"/>
      <c r="P627" s="129"/>
    </row>
    <row r="628" spans="1:16" s="16" customFormat="1" x14ac:dyDescent="0.2">
      <c r="A628" s="1" t="s">
        <v>1385</v>
      </c>
      <c r="B628" s="1" t="s">
        <v>1386</v>
      </c>
      <c r="C628" s="1" t="s">
        <v>1399</v>
      </c>
      <c r="D628" s="142" t="s">
        <v>1066</v>
      </c>
      <c r="E628" s="143" t="s">
        <v>448</v>
      </c>
      <c r="F628" s="144" t="s">
        <v>449</v>
      </c>
      <c r="G628" s="143" t="s">
        <v>420</v>
      </c>
      <c r="H628" s="146">
        <v>3.57</v>
      </c>
      <c r="I628" s="146">
        <v>10.235900000000001</v>
      </c>
      <c r="J628" s="129">
        <v>484821</v>
      </c>
      <c r="K628" s="129">
        <f>+J628*I628</f>
        <v>4962579.2739000004</v>
      </c>
      <c r="L628" s="129"/>
      <c r="M628" s="129"/>
      <c r="N628" s="129">
        <f>+I628*J628</f>
        <v>4962579.2739000004</v>
      </c>
      <c r="O628" s="129"/>
      <c r="P628" s="129"/>
    </row>
    <row r="629" spans="1:16" s="1" customFormat="1" ht="38.25" x14ac:dyDescent="0.2">
      <c r="A629" s="1" t="s">
        <v>1385</v>
      </c>
      <c r="B629" s="1" t="s">
        <v>1386</v>
      </c>
      <c r="C629" s="1" t="s">
        <v>1397</v>
      </c>
      <c r="D629" s="130" t="s">
        <v>262</v>
      </c>
      <c r="E629" s="131" t="s">
        <v>926</v>
      </c>
      <c r="F629" s="131" t="s">
        <v>927</v>
      </c>
      <c r="G629" s="132" t="s">
        <v>21</v>
      </c>
      <c r="H629" s="133">
        <v>3.2111999999999998</v>
      </c>
      <c r="I629" s="133"/>
      <c r="J629" s="129"/>
      <c r="K629" s="129"/>
      <c r="L629" s="129"/>
      <c r="M629" s="129"/>
      <c r="N629" s="129"/>
      <c r="O629" s="129"/>
      <c r="P629" s="129"/>
    </row>
    <row r="630" spans="1:16" s="14" customFormat="1" x14ac:dyDescent="0.2">
      <c r="A630" s="1" t="s">
        <v>1385</v>
      </c>
      <c r="B630" s="1" t="s">
        <v>1386</v>
      </c>
      <c r="C630" s="1" t="s">
        <v>24</v>
      </c>
      <c r="D630" s="134" t="s">
        <v>1067</v>
      </c>
      <c r="E630" s="135" t="s">
        <v>18</v>
      </c>
      <c r="F630" s="136" t="s">
        <v>23</v>
      </c>
      <c r="G630" s="135" t="s">
        <v>24</v>
      </c>
      <c r="H630" s="137">
        <v>38.53</v>
      </c>
      <c r="I630" s="137">
        <v>123.72750000000001</v>
      </c>
      <c r="J630" s="129">
        <v>22914.53</v>
      </c>
      <c r="K630" s="129">
        <f t="shared" ref="K630:K636" si="45">+J630*I630</f>
        <v>2835157.5105750002</v>
      </c>
      <c r="L630" s="129">
        <f>+I630*J630</f>
        <v>2835157.5105750002</v>
      </c>
      <c r="M630" s="129"/>
      <c r="N630" s="129"/>
      <c r="O630" s="129"/>
      <c r="P630" s="129"/>
    </row>
    <row r="631" spans="1:16" s="15" customFormat="1" x14ac:dyDescent="0.2">
      <c r="A631" s="1" t="s">
        <v>1385</v>
      </c>
      <c r="B631" s="1" t="s">
        <v>1386</v>
      </c>
      <c r="C631" s="1" t="s">
        <v>28</v>
      </c>
      <c r="D631" s="138" t="s">
        <v>1068</v>
      </c>
      <c r="E631" s="139" t="s">
        <v>213</v>
      </c>
      <c r="F631" s="140" t="s">
        <v>214</v>
      </c>
      <c r="G631" s="139" t="s">
        <v>28</v>
      </c>
      <c r="H631" s="141">
        <v>2.41</v>
      </c>
      <c r="I631" s="141">
        <v>7.7389999999999999</v>
      </c>
      <c r="J631" s="129">
        <v>1399</v>
      </c>
      <c r="K631" s="129">
        <f t="shared" si="45"/>
        <v>10826.860999999999</v>
      </c>
      <c r="L631" s="129"/>
      <c r="M631" s="129">
        <f>+J631*I631</f>
        <v>10826.860999999999</v>
      </c>
      <c r="N631" s="129"/>
      <c r="O631" s="129"/>
      <c r="P631" s="129"/>
    </row>
    <row r="632" spans="1:16" s="15" customFormat="1" x14ac:dyDescent="0.2">
      <c r="A632" s="1" t="s">
        <v>1385</v>
      </c>
      <c r="B632" s="1" t="s">
        <v>1386</v>
      </c>
      <c r="C632" s="1" t="s">
        <v>28</v>
      </c>
      <c r="D632" s="138" t="s">
        <v>1069</v>
      </c>
      <c r="E632" s="139" t="s">
        <v>30</v>
      </c>
      <c r="F632" s="140" t="s">
        <v>31</v>
      </c>
      <c r="G632" s="139" t="s">
        <v>28</v>
      </c>
      <c r="H632" s="141">
        <v>0.4</v>
      </c>
      <c r="I632" s="141">
        <v>1.2845</v>
      </c>
      <c r="J632" s="129">
        <v>106655</v>
      </c>
      <c r="K632" s="129">
        <f t="shared" si="45"/>
        <v>136998.3475</v>
      </c>
      <c r="L632" s="129"/>
      <c r="M632" s="129">
        <f>+J632*I632</f>
        <v>136998.3475</v>
      </c>
      <c r="N632" s="129"/>
      <c r="O632" s="129"/>
      <c r="P632" s="129"/>
    </row>
    <row r="633" spans="1:16" s="16" customFormat="1" x14ac:dyDescent="0.2">
      <c r="A633" s="1" t="s">
        <v>1385</v>
      </c>
      <c r="B633" s="1" t="s">
        <v>1386</v>
      </c>
      <c r="C633" s="1" t="s">
        <v>1399</v>
      </c>
      <c r="D633" s="142" t="s">
        <v>1070</v>
      </c>
      <c r="E633" s="143" t="s">
        <v>932</v>
      </c>
      <c r="F633" s="144" t="s">
        <v>933</v>
      </c>
      <c r="G633" s="143" t="s">
        <v>42</v>
      </c>
      <c r="H633" s="145">
        <v>645</v>
      </c>
      <c r="I633" s="146">
        <v>2071.2240000000002</v>
      </c>
      <c r="J633" s="129">
        <v>200</v>
      </c>
      <c r="K633" s="129">
        <f t="shared" si="45"/>
        <v>414244.80000000005</v>
      </c>
      <c r="L633" s="129"/>
      <c r="M633" s="129"/>
      <c r="N633" s="129">
        <f>+I633*J633</f>
        <v>414244.80000000005</v>
      </c>
      <c r="O633" s="129"/>
      <c r="P633" s="129"/>
    </row>
    <row r="634" spans="1:16" s="16" customFormat="1" x14ac:dyDescent="0.2">
      <c r="A634" s="1" t="s">
        <v>1385</v>
      </c>
      <c r="B634" s="1" t="s">
        <v>1386</v>
      </c>
      <c r="C634" s="1" t="s">
        <v>1399</v>
      </c>
      <c r="D634" s="142" t="s">
        <v>1071</v>
      </c>
      <c r="E634" s="143" t="s">
        <v>935</v>
      </c>
      <c r="F634" s="144" t="s">
        <v>936</v>
      </c>
      <c r="G634" s="143" t="s">
        <v>42</v>
      </c>
      <c r="H634" s="145">
        <v>81</v>
      </c>
      <c r="I634" s="146">
        <v>260.10719999999998</v>
      </c>
      <c r="J634" s="129">
        <v>250</v>
      </c>
      <c r="K634" s="129">
        <f t="shared" si="45"/>
        <v>65026.799999999996</v>
      </c>
      <c r="L634" s="129"/>
      <c r="M634" s="129"/>
      <c r="N634" s="129">
        <f>+I634*J634</f>
        <v>65026.799999999996</v>
      </c>
      <c r="O634" s="129"/>
      <c r="P634" s="129"/>
    </row>
    <row r="635" spans="1:16" s="16" customFormat="1" ht="24" x14ac:dyDescent="0.2">
      <c r="A635" s="1" t="s">
        <v>1385</v>
      </c>
      <c r="B635" s="1" t="s">
        <v>1386</v>
      </c>
      <c r="C635" s="1" t="s">
        <v>1399</v>
      </c>
      <c r="D635" s="142" t="s">
        <v>1072</v>
      </c>
      <c r="E635" s="143" t="s">
        <v>938</v>
      </c>
      <c r="F635" s="144" t="s">
        <v>939</v>
      </c>
      <c r="G635" s="143" t="s">
        <v>69</v>
      </c>
      <c r="H635" s="145">
        <v>16</v>
      </c>
      <c r="I635" s="146">
        <v>51.379199999999997</v>
      </c>
      <c r="J635" s="129">
        <v>500</v>
      </c>
      <c r="K635" s="129">
        <f t="shared" si="45"/>
        <v>25689.599999999999</v>
      </c>
      <c r="L635" s="129"/>
      <c r="M635" s="129"/>
      <c r="N635" s="129">
        <f>+I635*J635</f>
        <v>25689.599999999999</v>
      </c>
      <c r="O635" s="129"/>
      <c r="P635" s="129"/>
    </row>
    <row r="636" spans="1:16" s="16" customFormat="1" ht="24" x14ac:dyDescent="0.2">
      <c r="A636" s="1" t="s">
        <v>1385</v>
      </c>
      <c r="B636" s="1" t="s">
        <v>1386</v>
      </c>
      <c r="C636" s="1" t="s">
        <v>1399</v>
      </c>
      <c r="D636" s="142" t="s">
        <v>1073</v>
      </c>
      <c r="E636" s="143" t="s">
        <v>941</v>
      </c>
      <c r="F636" s="144" t="s">
        <v>942</v>
      </c>
      <c r="G636" s="143" t="s">
        <v>38</v>
      </c>
      <c r="H636" s="145">
        <v>106</v>
      </c>
      <c r="I636" s="146">
        <v>340.38720000000001</v>
      </c>
      <c r="J636" s="129">
        <v>75450</v>
      </c>
      <c r="K636" s="129">
        <f t="shared" si="45"/>
        <v>25682214.240000002</v>
      </c>
      <c r="L636" s="129"/>
      <c r="M636" s="129"/>
      <c r="N636" s="129">
        <f>+I636*J636</f>
        <v>25682214.240000002</v>
      </c>
      <c r="O636" s="129"/>
      <c r="P636" s="129"/>
    </row>
    <row r="637" spans="1:16" s="1" customFormat="1" ht="15.75" customHeight="1" x14ac:dyDescent="0.2">
      <c r="A637" s="1" t="s">
        <v>1385</v>
      </c>
      <c r="B637" s="1" t="s">
        <v>1386</v>
      </c>
      <c r="C637" s="1" t="s">
        <v>1397</v>
      </c>
      <c r="D637" s="130" t="s">
        <v>1074</v>
      </c>
      <c r="E637" s="131" t="s">
        <v>1075</v>
      </c>
      <c r="F637" s="131" t="s">
        <v>1076</v>
      </c>
      <c r="G637" s="132" t="s">
        <v>638</v>
      </c>
      <c r="H637" s="133">
        <v>0.52</v>
      </c>
      <c r="I637" s="133"/>
      <c r="J637" s="129"/>
      <c r="K637" s="129"/>
      <c r="L637" s="129"/>
      <c r="M637" s="129"/>
      <c r="N637" s="129"/>
      <c r="O637" s="129"/>
      <c r="P637" s="129"/>
    </row>
    <row r="638" spans="1:16" s="14" customFormat="1" x14ac:dyDescent="0.2">
      <c r="A638" s="1" t="s">
        <v>1385</v>
      </c>
      <c r="B638" s="1" t="s">
        <v>1386</v>
      </c>
      <c r="C638" s="1" t="s">
        <v>24</v>
      </c>
      <c r="D638" s="134" t="s">
        <v>1077</v>
      </c>
      <c r="E638" s="135" t="s">
        <v>18</v>
      </c>
      <c r="F638" s="136" t="s">
        <v>23</v>
      </c>
      <c r="G638" s="135" t="s">
        <v>24</v>
      </c>
      <c r="H638" s="137">
        <v>6.67</v>
      </c>
      <c r="I638" s="137">
        <v>3.4683999999999999</v>
      </c>
      <c r="J638" s="129">
        <v>22914.53</v>
      </c>
      <c r="K638" s="129">
        <f t="shared" ref="K638:K643" si="46">+J638*I638</f>
        <v>79476.755851999987</v>
      </c>
      <c r="L638" s="129">
        <f>+I638*J638</f>
        <v>79476.755851999987</v>
      </c>
      <c r="M638" s="129"/>
      <c r="N638" s="129"/>
      <c r="O638" s="129"/>
      <c r="P638" s="129"/>
    </row>
    <row r="639" spans="1:16" s="15" customFormat="1" x14ac:dyDescent="0.2">
      <c r="A639" s="1" t="s">
        <v>1385</v>
      </c>
      <c r="B639" s="1" t="s">
        <v>1386</v>
      </c>
      <c r="C639" s="1" t="s">
        <v>28</v>
      </c>
      <c r="D639" s="138" t="s">
        <v>1078</v>
      </c>
      <c r="E639" s="139" t="s">
        <v>1079</v>
      </c>
      <c r="F639" s="140" t="s">
        <v>1080</v>
      </c>
      <c r="G639" s="139" t="s">
        <v>28</v>
      </c>
      <c r="H639" s="141">
        <v>0.18</v>
      </c>
      <c r="I639" s="141">
        <v>9.3600000000000003E-2</v>
      </c>
      <c r="J639" s="129">
        <v>132706</v>
      </c>
      <c r="K639" s="129">
        <f t="shared" si="46"/>
        <v>12421.2816</v>
      </c>
      <c r="L639" s="129"/>
      <c r="M639" s="129">
        <f>+J639*I639</f>
        <v>12421.2816</v>
      </c>
      <c r="N639" s="129"/>
      <c r="O639" s="129"/>
      <c r="P639" s="129"/>
    </row>
    <row r="640" spans="1:16" s="15" customFormat="1" ht="24" x14ac:dyDescent="0.2">
      <c r="A640" s="1" t="s">
        <v>1385</v>
      </c>
      <c r="B640" s="1" t="s">
        <v>1386</v>
      </c>
      <c r="C640" s="1" t="s">
        <v>28</v>
      </c>
      <c r="D640" s="138" t="s">
        <v>1081</v>
      </c>
      <c r="E640" s="139" t="s">
        <v>876</v>
      </c>
      <c r="F640" s="140" t="s">
        <v>877</v>
      </c>
      <c r="G640" s="139" t="s">
        <v>28</v>
      </c>
      <c r="H640" s="141">
        <v>0.11</v>
      </c>
      <c r="I640" s="141">
        <v>5.7200000000000001E-2</v>
      </c>
      <c r="J640" s="129">
        <v>239461</v>
      </c>
      <c r="K640" s="129">
        <f t="shared" si="46"/>
        <v>13697.1692</v>
      </c>
      <c r="L640" s="129"/>
      <c r="M640" s="129">
        <f>+J640*I640</f>
        <v>13697.1692</v>
      </c>
      <c r="N640" s="129"/>
      <c r="O640" s="129"/>
      <c r="P640" s="129"/>
    </row>
    <row r="641" spans="1:16" s="15" customFormat="1" x14ac:dyDescent="0.2">
      <c r="A641" s="1" t="s">
        <v>1385</v>
      </c>
      <c r="B641" s="1" t="s">
        <v>1386</v>
      </c>
      <c r="C641" s="1" t="s">
        <v>28</v>
      </c>
      <c r="D641" s="138" t="s">
        <v>1082</v>
      </c>
      <c r="E641" s="139" t="s">
        <v>98</v>
      </c>
      <c r="F641" s="140" t="s">
        <v>99</v>
      </c>
      <c r="G641" s="139" t="s">
        <v>28</v>
      </c>
      <c r="H641" s="141">
        <v>1.89</v>
      </c>
      <c r="I641" s="141">
        <v>0.98280000000000001</v>
      </c>
      <c r="J641" s="129">
        <v>6858</v>
      </c>
      <c r="K641" s="129">
        <f t="shared" si="46"/>
        <v>6740.0424000000003</v>
      </c>
      <c r="L641" s="129"/>
      <c r="M641" s="129">
        <f>+J641*I641</f>
        <v>6740.0424000000003</v>
      </c>
      <c r="N641" s="129"/>
      <c r="O641" s="129"/>
      <c r="P641" s="129"/>
    </row>
    <row r="642" spans="1:16" s="15" customFormat="1" x14ac:dyDescent="0.2">
      <c r="A642" s="1" t="s">
        <v>1385</v>
      </c>
      <c r="B642" s="1" t="s">
        <v>1386</v>
      </c>
      <c r="C642" s="1" t="s">
        <v>28</v>
      </c>
      <c r="D642" s="138" t="s">
        <v>1083</v>
      </c>
      <c r="E642" s="139" t="s">
        <v>30</v>
      </c>
      <c r="F642" s="140" t="s">
        <v>31</v>
      </c>
      <c r="G642" s="139" t="s">
        <v>28</v>
      </c>
      <c r="H642" s="141">
        <v>0.14000000000000001</v>
      </c>
      <c r="I642" s="141">
        <v>7.2800000000000004E-2</v>
      </c>
      <c r="J642" s="129">
        <v>106655</v>
      </c>
      <c r="K642" s="129">
        <f t="shared" si="46"/>
        <v>7764.4840000000004</v>
      </c>
      <c r="L642" s="129"/>
      <c r="M642" s="129">
        <f>+J642*I642</f>
        <v>7764.4840000000004</v>
      </c>
      <c r="N642" s="129"/>
      <c r="O642" s="129"/>
      <c r="P642" s="129"/>
    </row>
    <row r="643" spans="1:16" s="16" customFormat="1" x14ac:dyDescent="0.2">
      <c r="A643" s="1" t="s">
        <v>1385</v>
      </c>
      <c r="B643" s="1" t="s">
        <v>1386</v>
      </c>
      <c r="C643" s="1" t="s">
        <v>1399</v>
      </c>
      <c r="D643" s="142" t="s">
        <v>1084</v>
      </c>
      <c r="E643" s="143" t="s">
        <v>820</v>
      </c>
      <c r="F643" s="144" t="s">
        <v>821</v>
      </c>
      <c r="G643" s="143" t="s">
        <v>107</v>
      </c>
      <c r="H643" s="146">
        <v>5.0000000000000001E-4</v>
      </c>
      <c r="I643" s="146">
        <v>2.5999999999999998E-4</v>
      </c>
      <c r="J643" s="129">
        <v>11250000</v>
      </c>
      <c r="K643" s="129">
        <f t="shared" si="46"/>
        <v>2924.9999999999995</v>
      </c>
      <c r="L643" s="129"/>
      <c r="M643" s="129"/>
      <c r="N643" s="129">
        <f>+I643*J643</f>
        <v>2924.9999999999995</v>
      </c>
      <c r="O643" s="129"/>
      <c r="P643" s="129"/>
    </row>
    <row r="644" spans="1:16" s="1" customFormat="1" x14ac:dyDescent="0.2">
      <c r="A644" s="1" t="s">
        <v>1385</v>
      </c>
      <c r="B644" s="1" t="s">
        <v>1386</v>
      </c>
      <c r="C644" s="1" t="s">
        <v>1399</v>
      </c>
      <c r="D644" s="130" t="s">
        <v>1085</v>
      </c>
      <c r="E644" s="131" t="s">
        <v>334</v>
      </c>
      <c r="F644" s="131" t="s">
        <v>1086</v>
      </c>
      <c r="G644" s="132" t="s">
        <v>107</v>
      </c>
      <c r="H644" s="133">
        <v>8.8400000000000006E-2</v>
      </c>
      <c r="I644" s="133">
        <f t="shared" ref="I644:I648" si="47">+H644</f>
        <v>8.8400000000000006E-2</v>
      </c>
      <c r="J644" s="129">
        <v>9642941</v>
      </c>
      <c r="K644" s="129">
        <f t="shared" ref="K644:K648" si="48">+J644*I644</f>
        <v>852435.98440000007</v>
      </c>
      <c r="L644" s="129"/>
      <c r="M644" s="129"/>
      <c r="N644" s="129">
        <f t="shared" ref="N644:N648" si="49">+J644*I644</f>
        <v>852435.98440000007</v>
      </c>
      <c r="O644" s="129"/>
      <c r="P644" s="129"/>
    </row>
    <row r="645" spans="1:16" s="1" customFormat="1" x14ac:dyDescent="0.2">
      <c r="A645" s="1" t="s">
        <v>1385</v>
      </c>
      <c r="B645" s="1" t="s">
        <v>1386</v>
      </c>
      <c r="C645" s="1" t="s">
        <v>1399</v>
      </c>
      <c r="D645" s="130" t="s">
        <v>1087</v>
      </c>
      <c r="E645" s="131" t="s">
        <v>430</v>
      </c>
      <c r="F645" s="131" t="s">
        <v>1088</v>
      </c>
      <c r="G645" s="132" t="s">
        <v>107</v>
      </c>
      <c r="H645" s="133">
        <v>0.31774000000000002</v>
      </c>
      <c r="I645" s="133">
        <f t="shared" si="47"/>
        <v>0.31774000000000002</v>
      </c>
      <c r="J645" s="129">
        <v>9643721</v>
      </c>
      <c r="K645" s="129">
        <f t="shared" si="48"/>
        <v>3064195.9105400001</v>
      </c>
      <c r="L645" s="129"/>
      <c r="M645" s="129"/>
      <c r="N645" s="129">
        <f t="shared" si="49"/>
        <v>3064195.9105400001</v>
      </c>
      <c r="O645" s="129"/>
      <c r="P645" s="129"/>
    </row>
    <row r="646" spans="1:16" s="1" customFormat="1" x14ac:dyDescent="0.2">
      <c r="A646" s="1" t="s">
        <v>1385</v>
      </c>
      <c r="B646" s="1" t="s">
        <v>1386</v>
      </c>
      <c r="C646" s="1" t="s">
        <v>1399</v>
      </c>
      <c r="D646" s="130" t="s">
        <v>1089</v>
      </c>
      <c r="E646" s="131" t="s">
        <v>500</v>
      </c>
      <c r="F646" s="131" t="s">
        <v>1090</v>
      </c>
      <c r="G646" s="132" t="s">
        <v>107</v>
      </c>
      <c r="H646" s="133">
        <v>2.8979999999999999E-2</v>
      </c>
      <c r="I646" s="133">
        <f t="shared" si="47"/>
        <v>2.8979999999999999E-2</v>
      </c>
      <c r="J646" s="129">
        <v>8660714</v>
      </c>
      <c r="K646" s="129">
        <f t="shared" si="48"/>
        <v>250987.49171999999</v>
      </c>
      <c r="L646" s="129"/>
      <c r="M646" s="129"/>
      <c r="N646" s="129">
        <f t="shared" si="49"/>
        <v>250987.49171999999</v>
      </c>
      <c r="O646" s="129"/>
      <c r="P646" s="129"/>
    </row>
    <row r="647" spans="1:16" s="1" customFormat="1" x14ac:dyDescent="0.2">
      <c r="A647" s="1" t="s">
        <v>1385</v>
      </c>
      <c r="B647" s="1" t="s">
        <v>1386</v>
      </c>
      <c r="C647" s="1" t="s">
        <v>1399</v>
      </c>
      <c r="D647" s="130" t="s">
        <v>1091</v>
      </c>
      <c r="E647" s="131" t="s">
        <v>1092</v>
      </c>
      <c r="F647" s="131" t="s">
        <v>1093</v>
      </c>
      <c r="G647" s="132" t="s">
        <v>38</v>
      </c>
      <c r="H647" s="133">
        <v>2.94</v>
      </c>
      <c r="I647" s="133">
        <f t="shared" si="47"/>
        <v>2.94</v>
      </c>
      <c r="J647" s="129">
        <v>10000</v>
      </c>
      <c r="K647" s="129">
        <f t="shared" si="48"/>
        <v>29400</v>
      </c>
      <c r="L647" s="129"/>
      <c r="M647" s="129"/>
      <c r="N647" s="129">
        <f t="shared" si="49"/>
        <v>29400</v>
      </c>
      <c r="O647" s="129"/>
      <c r="P647" s="129"/>
    </row>
    <row r="648" spans="1:16" s="1" customFormat="1" x14ac:dyDescent="0.2">
      <c r="A648" s="1" t="s">
        <v>1385</v>
      </c>
      <c r="B648" s="1" t="s">
        <v>1386</v>
      </c>
      <c r="C648" s="1" t="s">
        <v>1399</v>
      </c>
      <c r="D648" s="130" t="s">
        <v>1094</v>
      </c>
      <c r="E648" s="131" t="s">
        <v>1095</v>
      </c>
      <c r="F648" s="131" t="s">
        <v>1096</v>
      </c>
      <c r="G648" s="132" t="s">
        <v>42</v>
      </c>
      <c r="H648" s="148">
        <v>300</v>
      </c>
      <c r="I648" s="133">
        <f t="shared" si="47"/>
        <v>300</v>
      </c>
      <c r="J648" s="129">
        <v>200</v>
      </c>
      <c r="K648" s="129">
        <f t="shared" si="48"/>
        <v>60000</v>
      </c>
      <c r="L648" s="129"/>
      <c r="M648" s="129"/>
      <c r="N648" s="129">
        <f t="shared" si="49"/>
        <v>60000</v>
      </c>
      <c r="O648" s="129"/>
      <c r="P648" s="129"/>
    </row>
    <row r="649" spans="1:16" s="1" customFormat="1" ht="25.5" x14ac:dyDescent="0.2">
      <c r="A649" s="1" t="s">
        <v>1385</v>
      </c>
      <c r="B649" s="1" t="s">
        <v>1386</v>
      </c>
      <c r="C649" s="1" t="s">
        <v>1397</v>
      </c>
      <c r="D649" s="130" t="s">
        <v>1097</v>
      </c>
      <c r="E649" s="131" t="s">
        <v>903</v>
      </c>
      <c r="F649" s="131" t="s">
        <v>904</v>
      </c>
      <c r="G649" s="132" t="s">
        <v>21</v>
      </c>
      <c r="H649" s="133">
        <v>9.2799999999999994E-2</v>
      </c>
      <c r="I649" s="133"/>
      <c r="J649" s="129"/>
      <c r="K649" s="129"/>
      <c r="L649" s="129"/>
      <c r="M649" s="129"/>
      <c r="N649" s="129"/>
      <c r="O649" s="129"/>
      <c r="P649" s="129"/>
    </row>
    <row r="650" spans="1:16" s="14" customFormat="1" x14ac:dyDescent="0.2">
      <c r="A650" s="1" t="s">
        <v>1385</v>
      </c>
      <c r="B650" s="1" t="s">
        <v>1386</v>
      </c>
      <c r="C650" s="1" t="s">
        <v>24</v>
      </c>
      <c r="D650" s="134" t="s">
        <v>1098</v>
      </c>
      <c r="E650" s="135" t="s">
        <v>18</v>
      </c>
      <c r="F650" s="136" t="s">
        <v>23</v>
      </c>
      <c r="G650" s="135" t="s">
        <v>24</v>
      </c>
      <c r="H650" s="137">
        <v>5.31</v>
      </c>
      <c r="I650" s="137">
        <v>0.49276799999999998</v>
      </c>
      <c r="J650" s="129">
        <v>22914.53</v>
      </c>
      <c r="K650" s="129">
        <f>+J650*I650</f>
        <v>11291.547119039999</v>
      </c>
      <c r="L650" s="129">
        <f>+I650*J650</f>
        <v>11291.547119039999</v>
      </c>
      <c r="M650" s="129"/>
      <c r="N650" s="129"/>
      <c r="O650" s="129"/>
      <c r="P650" s="129"/>
    </row>
    <row r="651" spans="1:16" s="15" customFormat="1" x14ac:dyDescent="0.2">
      <c r="A651" s="1" t="s">
        <v>1385</v>
      </c>
      <c r="B651" s="1" t="s">
        <v>1386</v>
      </c>
      <c r="C651" s="1" t="s">
        <v>28</v>
      </c>
      <c r="D651" s="138" t="s">
        <v>1099</v>
      </c>
      <c r="E651" s="139" t="s">
        <v>193</v>
      </c>
      <c r="F651" s="140" t="s">
        <v>31</v>
      </c>
      <c r="G651" s="139" t="s">
        <v>28</v>
      </c>
      <c r="H651" s="141">
        <v>0.01</v>
      </c>
      <c r="I651" s="141">
        <v>9.2800000000000001E-4</v>
      </c>
      <c r="J651" s="129">
        <v>106655</v>
      </c>
      <c r="K651" s="129">
        <f>+J651*I651</f>
        <v>98.975840000000005</v>
      </c>
      <c r="L651" s="129"/>
      <c r="M651" s="129">
        <f>+J651*I651</f>
        <v>98.975840000000005</v>
      </c>
      <c r="N651" s="129"/>
      <c r="O651" s="129"/>
      <c r="P651" s="129"/>
    </row>
    <row r="652" spans="1:16" s="15" customFormat="1" ht="24" x14ac:dyDescent="0.2">
      <c r="A652" s="1" t="s">
        <v>1385</v>
      </c>
      <c r="B652" s="1" t="s">
        <v>1386</v>
      </c>
      <c r="C652" s="1" t="s">
        <v>28</v>
      </c>
      <c r="D652" s="138" t="s">
        <v>1100</v>
      </c>
      <c r="E652" s="139" t="s">
        <v>908</v>
      </c>
      <c r="F652" s="140" t="s">
        <v>909</v>
      </c>
      <c r="G652" s="139" t="s">
        <v>28</v>
      </c>
      <c r="H652" s="141">
        <v>1.1200000000000001</v>
      </c>
      <c r="I652" s="141">
        <v>0.103936</v>
      </c>
      <c r="J652" s="129">
        <v>6265</v>
      </c>
      <c r="K652" s="129">
        <f>+J652*I652</f>
        <v>651.15904</v>
      </c>
      <c r="L652" s="129"/>
      <c r="M652" s="129">
        <f>+J652*I652</f>
        <v>651.15904</v>
      </c>
      <c r="N652" s="129"/>
      <c r="O652" s="129"/>
      <c r="P652" s="129"/>
    </row>
    <row r="653" spans="1:16" s="16" customFormat="1" x14ac:dyDescent="0.2">
      <c r="A653" s="1" t="s">
        <v>1385</v>
      </c>
      <c r="B653" s="1" t="s">
        <v>1386</v>
      </c>
      <c r="C653" s="1" t="s">
        <v>1399</v>
      </c>
      <c r="D653" s="142" t="s">
        <v>1101</v>
      </c>
      <c r="E653" s="143" t="s">
        <v>911</v>
      </c>
      <c r="F653" s="144" t="s">
        <v>912</v>
      </c>
      <c r="G653" s="143" t="s">
        <v>107</v>
      </c>
      <c r="H653" s="146">
        <v>1.2E-2</v>
      </c>
      <c r="I653" s="146">
        <v>1.114E-3</v>
      </c>
      <c r="J653" s="129">
        <v>18482000</v>
      </c>
      <c r="K653" s="129">
        <f>+J653*I653</f>
        <v>20588.948</v>
      </c>
      <c r="L653" s="129"/>
      <c r="M653" s="129"/>
      <c r="N653" s="129">
        <f>+I653*J653</f>
        <v>20588.948</v>
      </c>
      <c r="O653" s="129"/>
      <c r="P653" s="129"/>
    </row>
    <row r="654" spans="1:16" s="1" customFormat="1" ht="25.5" x14ac:dyDescent="0.2">
      <c r="A654" s="1" t="s">
        <v>1385</v>
      </c>
      <c r="B654" s="1" t="s">
        <v>1386</v>
      </c>
      <c r="C654" s="1" t="s">
        <v>1397</v>
      </c>
      <c r="D654" s="130" t="s">
        <v>1102</v>
      </c>
      <c r="E654" s="131" t="s">
        <v>914</v>
      </c>
      <c r="F654" s="131" t="s">
        <v>915</v>
      </c>
      <c r="G654" s="132" t="s">
        <v>21</v>
      </c>
      <c r="H654" s="133">
        <v>9.2799999999999994E-2</v>
      </c>
      <c r="I654" s="133"/>
      <c r="J654" s="129"/>
      <c r="K654" s="129"/>
      <c r="L654" s="129"/>
      <c r="M654" s="129"/>
      <c r="N654" s="129"/>
      <c r="O654" s="129"/>
      <c r="P654" s="129"/>
    </row>
    <row r="655" spans="1:16" s="14" customFormat="1" x14ac:dyDescent="0.2">
      <c r="A655" s="1" t="s">
        <v>1385</v>
      </c>
      <c r="B655" s="1" t="s">
        <v>1386</v>
      </c>
      <c r="C655" s="1" t="s">
        <v>24</v>
      </c>
      <c r="D655" s="134" t="s">
        <v>1103</v>
      </c>
      <c r="E655" s="135" t="s">
        <v>18</v>
      </c>
      <c r="F655" s="136" t="s">
        <v>23</v>
      </c>
      <c r="G655" s="135" t="s">
        <v>24</v>
      </c>
      <c r="H655" s="137">
        <v>7.66</v>
      </c>
      <c r="I655" s="137">
        <v>0.71084800000000004</v>
      </c>
      <c r="J655" s="129">
        <v>22914.53</v>
      </c>
      <c r="K655" s="129">
        <f>+J655*I655</f>
        <v>16288.74782144</v>
      </c>
      <c r="L655" s="129">
        <f>+I655*J655</f>
        <v>16288.74782144</v>
      </c>
      <c r="M655" s="129"/>
      <c r="N655" s="129"/>
      <c r="O655" s="129"/>
      <c r="P655" s="129"/>
    </row>
    <row r="656" spans="1:16" s="15" customFormat="1" x14ac:dyDescent="0.2">
      <c r="A656" s="1" t="s">
        <v>1385</v>
      </c>
      <c r="B656" s="1" t="s">
        <v>1386</v>
      </c>
      <c r="C656" s="1" t="s">
        <v>28</v>
      </c>
      <c r="D656" s="138" t="s">
        <v>1104</v>
      </c>
      <c r="E656" s="139" t="s">
        <v>193</v>
      </c>
      <c r="F656" s="140" t="s">
        <v>31</v>
      </c>
      <c r="G656" s="139" t="s">
        <v>28</v>
      </c>
      <c r="H656" s="141">
        <v>0.02</v>
      </c>
      <c r="I656" s="141">
        <v>1.856E-3</v>
      </c>
      <c r="J656" s="129">
        <v>106655</v>
      </c>
      <c r="K656" s="129">
        <f>+J656*I656</f>
        <v>197.95168000000001</v>
      </c>
      <c r="L656" s="129"/>
      <c r="M656" s="129">
        <f>+J656*I656</f>
        <v>197.95168000000001</v>
      </c>
      <c r="N656" s="129"/>
      <c r="O656" s="129"/>
      <c r="P656" s="129"/>
    </row>
    <row r="657" spans="1:16" s="15" customFormat="1" ht="24" x14ac:dyDescent="0.2">
      <c r="A657" s="1" t="s">
        <v>1385</v>
      </c>
      <c r="B657" s="1" t="s">
        <v>1386</v>
      </c>
      <c r="C657" s="1" t="s">
        <v>28</v>
      </c>
      <c r="D657" s="138" t="s">
        <v>1105</v>
      </c>
      <c r="E657" s="139" t="s">
        <v>908</v>
      </c>
      <c r="F657" s="140" t="s">
        <v>909</v>
      </c>
      <c r="G657" s="139" t="s">
        <v>28</v>
      </c>
      <c r="H657" s="141">
        <v>1.3</v>
      </c>
      <c r="I657" s="141">
        <v>0.12064</v>
      </c>
      <c r="J657" s="129">
        <v>6265</v>
      </c>
      <c r="K657" s="129">
        <f>+J657*I657</f>
        <v>755.80959999999993</v>
      </c>
      <c r="L657" s="129"/>
      <c r="M657" s="129">
        <f>+J657*I657</f>
        <v>755.80959999999993</v>
      </c>
      <c r="N657" s="129"/>
      <c r="O657" s="129"/>
      <c r="P657" s="129"/>
    </row>
    <row r="658" spans="1:16" s="16" customFormat="1" x14ac:dyDescent="0.2">
      <c r="A658" s="1" t="s">
        <v>1385</v>
      </c>
      <c r="B658" s="1" t="s">
        <v>1386</v>
      </c>
      <c r="C658" s="1" t="s">
        <v>1399</v>
      </c>
      <c r="D658" s="142" t="s">
        <v>1106</v>
      </c>
      <c r="E658" s="143" t="s">
        <v>920</v>
      </c>
      <c r="F658" s="144" t="s">
        <v>921</v>
      </c>
      <c r="G658" s="143" t="s">
        <v>107</v>
      </c>
      <c r="H658" s="146">
        <v>3.7999999999999999E-2</v>
      </c>
      <c r="I658" s="146">
        <v>3.5260000000000001E-3</v>
      </c>
      <c r="J658" s="129">
        <v>27312000</v>
      </c>
      <c r="K658" s="129">
        <f>+J658*I658</f>
        <v>96302.112000000008</v>
      </c>
      <c r="L658" s="129"/>
      <c r="M658" s="129"/>
      <c r="N658" s="129">
        <f>+I658*J658</f>
        <v>96302.112000000008</v>
      </c>
      <c r="O658" s="129"/>
      <c r="P658" s="129"/>
    </row>
    <row r="659" spans="1:16" s="16" customFormat="1" x14ac:dyDescent="0.2">
      <c r="A659" s="1" t="s">
        <v>1385</v>
      </c>
      <c r="B659" s="1" t="s">
        <v>1386</v>
      </c>
      <c r="C659" s="1" t="s">
        <v>1399</v>
      </c>
      <c r="D659" s="142" t="s">
        <v>1107</v>
      </c>
      <c r="E659" s="143" t="s">
        <v>923</v>
      </c>
      <c r="F659" s="144" t="s">
        <v>924</v>
      </c>
      <c r="G659" s="143" t="s">
        <v>107</v>
      </c>
      <c r="H659" s="146">
        <v>2.8E-3</v>
      </c>
      <c r="I659" s="146">
        <v>2.5999999999999998E-4</v>
      </c>
      <c r="J659" s="129">
        <v>30246000</v>
      </c>
      <c r="K659" s="129">
        <f>+J659*I659</f>
        <v>7863.9599999999991</v>
      </c>
      <c r="L659" s="129"/>
      <c r="M659" s="129"/>
      <c r="N659" s="129">
        <f>+I659*J659</f>
        <v>7863.9599999999991</v>
      </c>
      <c r="O659" s="129"/>
      <c r="P659" s="129"/>
    </row>
    <row r="660" spans="1:16" ht="15.75" x14ac:dyDescent="0.25">
      <c r="A660" s="1" t="s">
        <v>1385</v>
      </c>
      <c r="B660" s="1" t="s">
        <v>1386</v>
      </c>
      <c r="C660" s="1"/>
      <c r="D660" s="127" t="s">
        <v>1108</v>
      </c>
      <c r="E660" s="128"/>
      <c r="F660" s="128"/>
      <c r="G660" s="128"/>
      <c r="H660" s="128"/>
      <c r="I660" s="128"/>
      <c r="J660" s="129"/>
      <c r="K660" s="129"/>
      <c r="L660" s="129"/>
      <c r="M660" s="129"/>
      <c r="N660" s="129"/>
      <c r="O660" s="129"/>
      <c r="P660" s="129"/>
    </row>
    <row r="661" spans="1:16" s="1" customFormat="1" ht="26.25" customHeight="1" x14ac:dyDescent="0.2">
      <c r="A661" s="1" t="s">
        <v>1385</v>
      </c>
      <c r="B661" s="1" t="s">
        <v>1386</v>
      </c>
      <c r="C661" s="1" t="s">
        <v>1397</v>
      </c>
      <c r="D661" s="130" t="s">
        <v>1109</v>
      </c>
      <c r="E661" s="131" t="s">
        <v>1015</v>
      </c>
      <c r="F661" s="131" t="s">
        <v>1016</v>
      </c>
      <c r="G661" s="132" t="s">
        <v>21</v>
      </c>
      <c r="H661" s="133">
        <v>0.316</v>
      </c>
      <c r="I661" s="133"/>
      <c r="J661" s="129"/>
      <c r="K661" s="129"/>
      <c r="L661" s="129"/>
      <c r="M661" s="129"/>
      <c r="N661" s="129"/>
      <c r="O661" s="129"/>
      <c r="P661" s="129"/>
    </row>
    <row r="662" spans="1:16" s="14" customFormat="1" x14ac:dyDescent="0.2">
      <c r="A662" s="1" t="s">
        <v>1385</v>
      </c>
      <c r="B662" s="1" t="s">
        <v>1386</v>
      </c>
      <c r="C662" s="1" t="s">
        <v>24</v>
      </c>
      <c r="D662" s="134" t="s">
        <v>1110</v>
      </c>
      <c r="E662" s="135" t="s">
        <v>18</v>
      </c>
      <c r="F662" s="136" t="s">
        <v>23</v>
      </c>
      <c r="G662" s="135" t="s">
        <v>24</v>
      </c>
      <c r="H662" s="137">
        <v>27.22</v>
      </c>
      <c r="I662" s="137">
        <v>8.6014999999999997</v>
      </c>
      <c r="J662" s="129">
        <v>22914.53</v>
      </c>
      <c r="K662" s="129">
        <f t="shared" ref="K662:K667" si="50">+J662*I662</f>
        <v>197099.32979499997</v>
      </c>
      <c r="L662" s="129">
        <f>+I662*J662</f>
        <v>197099.32979499997</v>
      </c>
      <c r="M662" s="129"/>
      <c r="N662" s="129"/>
      <c r="O662" s="129"/>
      <c r="P662" s="129"/>
    </row>
    <row r="663" spans="1:16" s="15" customFormat="1" x14ac:dyDescent="0.2">
      <c r="A663" s="1" t="s">
        <v>1385</v>
      </c>
      <c r="B663" s="1" t="s">
        <v>1386</v>
      </c>
      <c r="C663" s="1" t="s">
        <v>28</v>
      </c>
      <c r="D663" s="138" t="s">
        <v>1111</v>
      </c>
      <c r="E663" s="139" t="s">
        <v>262</v>
      </c>
      <c r="F663" s="140" t="s">
        <v>263</v>
      </c>
      <c r="G663" s="139" t="s">
        <v>28</v>
      </c>
      <c r="H663" s="141">
        <v>1.26</v>
      </c>
      <c r="I663" s="141">
        <v>0.39816000000000001</v>
      </c>
      <c r="J663" s="129">
        <v>140201</v>
      </c>
      <c r="K663" s="129">
        <f t="shared" si="50"/>
        <v>55822.430160000004</v>
      </c>
      <c r="L663" s="129"/>
      <c r="M663" s="129">
        <f>+J663*I663</f>
        <v>55822.430160000004</v>
      </c>
      <c r="N663" s="129"/>
      <c r="O663" s="129"/>
      <c r="P663" s="129"/>
    </row>
    <row r="664" spans="1:16" s="15" customFormat="1" ht="24" x14ac:dyDescent="0.2">
      <c r="A664" s="1" t="s">
        <v>1385</v>
      </c>
      <c r="B664" s="1" t="s">
        <v>1386</v>
      </c>
      <c r="C664" s="1" t="s">
        <v>28</v>
      </c>
      <c r="D664" s="138" t="s">
        <v>1112</v>
      </c>
      <c r="E664" s="139" t="s">
        <v>1020</v>
      </c>
      <c r="F664" s="140" t="s">
        <v>1021</v>
      </c>
      <c r="G664" s="139" t="s">
        <v>28</v>
      </c>
      <c r="H664" s="141">
        <v>2.36</v>
      </c>
      <c r="I664" s="141">
        <v>0.74575999999999998</v>
      </c>
      <c r="J664" s="129">
        <v>8322</v>
      </c>
      <c r="K664" s="129">
        <f t="shared" si="50"/>
        <v>6206.2147199999999</v>
      </c>
      <c r="L664" s="129"/>
      <c r="M664" s="129">
        <f>+J664*I664</f>
        <v>6206.2147199999999</v>
      </c>
      <c r="N664" s="129"/>
      <c r="O664" s="129"/>
      <c r="P664" s="129"/>
    </row>
    <row r="665" spans="1:16" s="15" customFormat="1" ht="24" x14ac:dyDescent="0.2">
      <c r="A665" s="1" t="s">
        <v>1385</v>
      </c>
      <c r="B665" s="1" t="s">
        <v>1386</v>
      </c>
      <c r="C665" s="1" t="s">
        <v>28</v>
      </c>
      <c r="D665" s="138" t="s">
        <v>1113</v>
      </c>
      <c r="E665" s="139" t="s">
        <v>876</v>
      </c>
      <c r="F665" s="140" t="s">
        <v>877</v>
      </c>
      <c r="G665" s="139" t="s">
        <v>28</v>
      </c>
      <c r="H665" s="141">
        <v>0.68</v>
      </c>
      <c r="I665" s="141">
        <v>0.21487999999999999</v>
      </c>
      <c r="J665" s="129">
        <v>239461</v>
      </c>
      <c r="K665" s="129">
        <f t="shared" si="50"/>
        <v>51455.379679999998</v>
      </c>
      <c r="L665" s="129"/>
      <c r="M665" s="129">
        <f>+J665*I665</f>
        <v>51455.379679999998</v>
      </c>
      <c r="N665" s="129"/>
      <c r="O665" s="129"/>
      <c r="P665" s="129"/>
    </row>
    <row r="666" spans="1:16" s="16" customFormat="1" x14ac:dyDescent="0.2">
      <c r="A666" s="1" t="s">
        <v>1385</v>
      </c>
      <c r="B666" s="1" t="s">
        <v>1386</v>
      </c>
      <c r="C666" s="1" t="s">
        <v>1399</v>
      </c>
      <c r="D666" s="142" t="s">
        <v>1114</v>
      </c>
      <c r="E666" s="143" t="s">
        <v>841</v>
      </c>
      <c r="F666" s="144" t="s">
        <v>842</v>
      </c>
      <c r="G666" s="143" t="s">
        <v>420</v>
      </c>
      <c r="H666" s="146">
        <v>1.53</v>
      </c>
      <c r="I666" s="146">
        <v>0.48348000000000002</v>
      </c>
      <c r="J666" s="129">
        <v>484821</v>
      </c>
      <c r="K666" s="129">
        <f t="shared" si="50"/>
        <v>234401.25708000001</v>
      </c>
      <c r="L666" s="129"/>
      <c r="M666" s="129"/>
      <c r="N666" s="129">
        <f>+I666*J666</f>
        <v>234401.25708000001</v>
      </c>
      <c r="O666" s="129"/>
      <c r="P666" s="129"/>
    </row>
    <row r="667" spans="1:16" s="16" customFormat="1" ht="24" x14ac:dyDescent="0.2">
      <c r="A667" s="1" t="s">
        <v>1385</v>
      </c>
      <c r="B667" s="1" t="s">
        <v>1386</v>
      </c>
      <c r="C667" s="1" t="s">
        <v>1399</v>
      </c>
      <c r="D667" s="142" t="s">
        <v>1115</v>
      </c>
      <c r="E667" s="143" t="s">
        <v>1025</v>
      </c>
      <c r="F667" s="144" t="s">
        <v>1026</v>
      </c>
      <c r="G667" s="143" t="s">
        <v>38</v>
      </c>
      <c r="H667" s="146">
        <v>4.4000000000000004</v>
      </c>
      <c r="I667" s="146">
        <v>1.3904000000000001</v>
      </c>
      <c r="J667" s="129">
        <v>3500</v>
      </c>
      <c r="K667" s="129">
        <f t="shared" si="50"/>
        <v>4866.4000000000005</v>
      </c>
      <c r="L667" s="129"/>
      <c r="M667" s="129"/>
      <c r="N667" s="129">
        <f>+I667*J667</f>
        <v>4866.4000000000005</v>
      </c>
      <c r="O667" s="129"/>
      <c r="P667" s="129"/>
    </row>
    <row r="668" spans="1:16" s="1" customFormat="1" ht="28.5" customHeight="1" x14ac:dyDescent="0.2">
      <c r="A668" s="1" t="s">
        <v>1385</v>
      </c>
      <c r="B668" s="1" t="s">
        <v>1386</v>
      </c>
      <c r="C668" s="1" t="s">
        <v>1397</v>
      </c>
      <c r="D668" s="130" t="s">
        <v>1116</v>
      </c>
      <c r="E668" s="131" t="s">
        <v>1028</v>
      </c>
      <c r="F668" s="131" t="s">
        <v>1029</v>
      </c>
      <c r="G668" s="132" t="s">
        <v>21</v>
      </c>
      <c r="H668" s="133">
        <v>0.316</v>
      </c>
      <c r="I668" s="133"/>
      <c r="J668" s="129"/>
      <c r="K668" s="129"/>
      <c r="L668" s="129"/>
      <c r="M668" s="129"/>
      <c r="N668" s="129"/>
      <c r="O668" s="129"/>
      <c r="P668" s="129"/>
    </row>
    <row r="669" spans="1:16" s="14" customFormat="1" x14ac:dyDescent="0.2">
      <c r="A669" s="1" t="s">
        <v>1385</v>
      </c>
      <c r="B669" s="1" t="s">
        <v>1386</v>
      </c>
      <c r="C669" s="1" t="s">
        <v>24</v>
      </c>
      <c r="D669" s="134" t="s">
        <v>1117</v>
      </c>
      <c r="E669" s="135" t="s">
        <v>18</v>
      </c>
      <c r="F669" s="136" t="s">
        <v>23</v>
      </c>
      <c r="G669" s="135" t="s">
        <v>24</v>
      </c>
      <c r="H669" s="137">
        <v>0.5</v>
      </c>
      <c r="I669" s="137">
        <v>0.158</v>
      </c>
      <c r="J669" s="129">
        <v>22914.53</v>
      </c>
      <c r="K669" s="129">
        <f>+J669*I669</f>
        <v>3620.4957399999998</v>
      </c>
      <c r="L669" s="129">
        <f>+I669*J669</f>
        <v>3620.4957399999998</v>
      </c>
      <c r="M669" s="129"/>
      <c r="N669" s="129"/>
      <c r="O669" s="129"/>
      <c r="P669" s="129"/>
    </row>
    <row r="670" spans="1:16" s="15" customFormat="1" x14ac:dyDescent="0.2">
      <c r="A670" s="1" t="s">
        <v>1385</v>
      </c>
      <c r="B670" s="1" t="s">
        <v>1386</v>
      </c>
      <c r="C670" s="1" t="s">
        <v>28</v>
      </c>
      <c r="D670" s="138" t="s">
        <v>1118</v>
      </c>
      <c r="E670" s="139" t="s">
        <v>262</v>
      </c>
      <c r="F670" s="140" t="s">
        <v>263</v>
      </c>
      <c r="G670" s="139" t="s">
        <v>28</v>
      </c>
      <c r="H670" s="141">
        <v>0.1</v>
      </c>
      <c r="I670" s="141">
        <v>3.1600000000000003E-2</v>
      </c>
      <c r="J670" s="129">
        <v>140201</v>
      </c>
      <c r="K670" s="129">
        <f>+J670*I670</f>
        <v>4430.3516000000009</v>
      </c>
      <c r="L670" s="129"/>
      <c r="M670" s="129">
        <f>+J670*I670</f>
        <v>4430.3516000000009</v>
      </c>
      <c r="N670" s="129"/>
      <c r="O670" s="129"/>
      <c r="P670" s="129"/>
    </row>
    <row r="671" spans="1:16" s="15" customFormat="1" ht="24" x14ac:dyDescent="0.2">
      <c r="A671" s="1" t="s">
        <v>1385</v>
      </c>
      <c r="B671" s="1" t="s">
        <v>1386</v>
      </c>
      <c r="C671" s="1" t="s">
        <v>28</v>
      </c>
      <c r="D671" s="138" t="s">
        <v>1119</v>
      </c>
      <c r="E671" s="139" t="s">
        <v>876</v>
      </c>
      <c r="F671" s="140" t="s">
        <v>877</v>
      </c>
      <c r="G671" s="139" t="s">
        <v>28</v>
      </c>
      <c r="H671" s="141">
        <v>0.05</v>
      </c>
      <c r="I671" s="141">
        <v>1.5800000000000002E-2</v>
      </c>
      <c r="J671" s="129">
        <v>239461</v>
      </c>
      <c r="K671" s="129">
        <f>+J671*I671</f>
        <v>3783.4838000000004</v>
      </c>
      <c r="L671" s="129"/>
      <c r="M671" s="129">
        <f>+J671*I671</f>
        <v>3783.4838000000004</v>
      </c>
      <c r="N671" s="129"/>
      <c r="O671" s="129"/>
      <c r="P671" s="129"/>
    </row>
    <row r="672" spans="1:16" s="16" customFormat="1" x14ac:dyDescent="0.2">
      <c r="A672" s="1" t="s">
        <v>1385</v>
      </c>
      <c r="B672" s="1" t="s">
        <v>1386</v>
      </c>
      <c r="C672" s="1" t="s">
        <v>1399</v>
      </c>
      <c r="D672" s="142" t="s">
        <v>1120</v>
      </c>
      <c r="E672" s="143" t="s">
        <v>841</v>
      </c>
      <c r="F672" s="144" t="s">
        <v>842</v>
      </c>
      <c r="G672" s="143" t="s">
        <v>420</v>
      </c>
      <c r="H672" s="146">
        <v>0.51</v>
      </c>
      <c r="I672" s="146">
        <v>0.16116</v>
      </c>
      <c r="J672" s="129">
        <v>484821</v>
      </c>
      <c r="K672" s="129">
        <f>+J672*I672</f>
        <v>78133.752359999999</v>
      </c>
      <c r="L672" s="129"/>
      <c r="M672" s="129"/>
      <c r="N672" s="129">
        <f>+I672*J672</f>
        <v>78133.752359999999</v>
      </c>
      <c r="O672" s="129"/>
      <c r="P672" s="129"/>
    </row>
    <row r="673" spans="1:16" s="1" customFormat="1" x14ac:dyDescent="0.2">
      <c r="A673" s="1" t="s">
        <v>1385</v>
      </c>
      <c r="B673" s="1" t="s">
        <v>1386</v>
      </c>
      <c r="C673" s="1" t="s">
        <v>1399</v>
      </c>
      <c r="D673" s="130" t="s">
        <v>1121</v>
      </c>
      <c r="E673" s="131" t="s">
        <v>1035</v>
      </c>
      <c r="F673" s="131" t="s">
        <v>1036</v>
      </c>
      <c r="G673" s="132" t="s">
        <v>38</v>
      </c>
      <c r="H673" s="133">
        <v>31.6</v>
      </c>
      <c r="I673" s="133">
        <f t="shared" ref="I673:I674" si="51">+H673</f>
        <v>31.6</v>
      </c>
      <c r="J673" s="129">
        <v>2500</v>
      </c>
      <c r="K673" s="129">
        <f t="shared" ref="K673:K674" si="52">+J673*I673</f>
        <v>79000</v>
      </c>
      <c r="L673" s="129"/>
      <c r="M673" s="129"/>
      <c r="N673" s="129">
        <f t="shared" ref="N673:N674" si="53">+J673*I673</f>
        <v>79000</v>
      </c>
      <c r="O673" s="129"/>
      <c r="P673" s="129"/>
    </row>
    <row r="674" spans="1:16" s="1" customFormat="1" x14ac:dyDescent="0.2">
      <c r="A674" s="1" t="s">
        <v>1385</v>
      </c>
      <c r="B674" s="1" t="s">
        <v>1386</v>
      </c>
      <c r="C674" s="1" t="s">
        <v>1399</v>
      </c>
      <c r="D674" s="130" t="s">
        <v>1122</v>
      </c>
      <c r="E674" s="131" t="s">
        <v>1123</v>
      </c>
      <c r="F674" s="131" t="s">
        <v>1124</v>
      </c>
      <c r="G674" s="132" t="s">
        <v>38</v>
      </c>
      <c r="H674" s="133">
        <v>31.6</v>
      </c>
      <c r="I674" s="133">
        <f t="shared" si="51"/>
        <v>31.6</v>
      </c>
      <c r="J674" s="129">
        <v>86598</v>
      </c>
      <c r="K674" s="129">
        <f t="shared" si="52"/>
        <v>2736496.8000000003</v>
      </c>
      <c r="L674" s="129"/>
      <c r="M674" s="129"/>
      <c r="N674" s="129">
        <f t="shared" si="53"/>
        <v>2736496.8000000003</v>
      </c>
      <c r="O674" s="129"/>
      <c r="P674" s="129"/>
    </row>
    <row r="675" spans="1:16" s="1" customFormat="1" ht="24.75" customHeight="1" x14ac:dyDescent="0.2">
      <c r="A675" s="1" t="s">
        <v>1385</v>
      </c>
      <c r="B675" s="1" t="s">
        <v>1386</v>
      </c>
      <c r="C675" s="1" t="s">
        <v>1397</v>
      </c>
      <c r="D675" s="130" t="s">
        <v>1125</v>
      </c>
      <c r="E675" s="131" t="s">
        <v>1015</v>
      </c>
      <c r="F675" s="131" t="s">
        <v>1016</v>
      </c>
      <c r="G675" s="132" t="s">
        <v>21</v>
      </c>
      <c r="H675" s="133">
        <v>0.316</v>
      </c>
      <c r="I675" s="133"/>
      <c r="J675" s="129"/>
      <c r="K675" s="129"/>
      <c r="L675" s="129"/>
      <c r="M675" s="129"/>
      <c r="N675" s="129"/>
      <c r="O675" s="129"/>
      <c r="P675" s="129"/>
    </row>
    <row r="676" spans="1:16" s="14" customFormat="1" x14ac:dyDescent="0.2">
      <c r="A676" s="1" t="s">
        <v>1385</v>
      </c>
      <c r="B676" s="1" t="s">
        <v>1386</v>
      </c>
      <c r="C676" s="1" t="s">
        <v>24</v>
      </c>
      <c r="D676" s="134" t="s">
        <v>1126</v>
      </c>
      <c r="E676" s="135" t="s">
        <v>18</v>
      </c>
      <c r="F676" s="136" t="s">
        <v>23</v>
      </c>
      <c r="G676" s="135" t="s">
        <v>24</v>
      </c>
      <c r="H676" s="137">
        <v>27.22</v>
      </c>
      <c r="I676" s="137">
        <v>8.6014999999999997</v>
      </c>
      <c r="J676" s="129">
        <v>22914.53</v>
      </c>
      <c r="K676" s="129">
        <f t="shared" ref="K676:K681" si="54">+J676*I676</f>
        <v>197099.32979499997</v>
      </c>
      <c r="L676" s="129">
        <f>+I676*J676</f>
        <v>197099.32979499997</v>
      </c>
      <c r="M676" s="129"/>
      <c r="N676" s="129"/>
      <c r="O676" s="129"/>
      <c r="P676" s="129"/>
    </row>
    <row r="677" spans="1:16" s="15" customFormat="1" x14ac:dyDescent="0.2">
      <c r="A677" s="1" t="s">
        <v>1385</v>
      </c>
      <c r="B677" s="1" t="s">
        <v>1386</v>
      </c>
      <c r="C677" s="1" t="s">
        <v>28</v>
      </c>
      <c r="D677" s="138" t="s">
        <v>1127</v>
      </c>
      <c r="E677" s="139" t="s">
        <v>262</v>
      </c>
      <c r="F677" s="140" t="s">
        <v>263</v>
      </c>
      <c r="G677" s="139" t="s">
        <v>28</v>
      </c>
      <c r="H677" s="141">
        <v>1.26</v>
      </c>
      <c r="I677" s="141">
        <v>0.39816000000000001</v>
      </c>
      <c r="J677" s="129">
        <v>140201</v>
      </c>
      <c r="K677" s="129">
        <f t="shared" si="54"/>
        <v>55822.430160000004</v>
      </c>
      <c r="L677" s="129"/>
      <c r="M677" s="129">
        <f>+J677*I677</f>
        <v>55822.430160000004</v>
      </c>
      <c r="N677" s="129"/>
      <c r="O677" s="129"/>
      <c r="P677" s="129"/>
    </row>
    <row r="678" spans="1:16" s="15" customFormat="1" ht="24" x14ac:dyDescent="0.2">
      <c r="A678" s="1" t="s">
        <v>1385</v>
      </c>
      <c r="B678" s="1" t="s">
        <v>1386</v>
      </c>
      <c r="C678" s="1" t="s">
        <v>28</v>
      </c>
      <c r="D678" s="138" t="s">
        <v>1128</v>
      </c>
      <c r="E678" s="139" t="s">
        <v>1020</v>
      </c>
      <c r="F678" s="140" t="s">
        <v>1021</v>
      </c>
      <c r="G678" s="139" t="s">
        <v>28</v>
      </c>
      <c r="H678" s="141">
        <v>2.36</v>
      </c>
      <c r="I678" s="141">
        <v>0.74575999999999998</v>
      </c>
      <c r="J678" s="129">
        <v>8322</v>
      </c>
      <c r="K678" s="129">
        <f t="shared" si="54"/>
        <v>6206.2147199999999</v>
      </c>
      <c r="L678" s="129"/>
      <c r="M678" s="129">
        <f>+J678*I678</f>
        <v>6206.2147199999999</v>
      </c>
      <c r="N678" s="129"/>
      <c r="O678" s="129"/>
      <c r="P678" s="129"/>
    </row>
    <row r="679" spans="1:16" s="15" customFormat="1" ht="24" x14ac:dyDescent="0.2">
      <c r="A679" s="1" t="s">
        <v>1385</v>
      </c>
      <c r="B679" s="1" t="s">
        <v>1386</v>
      </c>
      <c r="C679" s="1" t="s">
        <v>28</v>
      </c>
      <c r="D679" s="138" t="s">
        <v>1129</v>
      </c>
      <c r="E679" s="139" t="s">
        <v>876</v>
      </c>
      <c r="F679" s="140" t="s">
        <v>877</v>
      </c>
      <c r="G679" s="139" t="s">
        <v>28</v>
      </c>
      <c r="H679" s="141">
        <v>0.68</v>
      </c>
      <c r="I679" s="141">
        <v>0.21487999999999999</v>
      </c>
      <c r="J679" s="129">
        <v>239461</v>
      </c>
      <c r="K679" s="129">
        <f t="shared" si="54"/>
        <v>51455.379679999998</v>
      </c>
      <c r="L679" s="129"/>
      <c r="M679" s="129">
        <f>+J679*I679</f>
        <v>51455.379679999998</v>
      </c>
      <c r="N679" s="129"/>
      <c r="O679" s="129"/>
      <c r="P679" s="129"/>
    </row>
    <row r="680" spans="1:16" s="16" customFormat="1" x14ac:dyDescent="0.2">
      <c r="A680" s="1" t="s">
        <v>1385</v>
      </c>
      <c r="B680" s="1" t="s">
        <v>1386</v>
      </c>
      <c r="C680" s="1" t="s">
        <v>1399</v>
      </c>
      <c r="D680" s="142" t="s">
        <v>1130</v>
      </c>
      <c r="E680" s="143" t="s">
        <v>841</v>
      </c>
      <c r="F680" s="144" t="s">
        <v>842</v>
      </c>
      <c r="G680" s="143" t="s">
        <v>420</v>
      </c>
      <c r="H680" s="146">
        <v>1.53</v>
      </c>
      <c r="I680" s="146">
        <v>0.48348000000000002</v>
      </c>
      <c r="J680" s="129">
        <v>484821</v>
      </c>
      <c r="K680" s="129">
        <f t="shared" si="54"/>
        <v>234401.25708000001</v>
      </c>
      <c r="L680" s="129"/>
      <c r="M680" s="129"/>
      <c r="N680" s="129">
        <f>+I680*J680</f>
        <v>234401.25708000001</v>
      </c>
      <c r="O680" s="129"/>
      <c r="P680" s="129"/>
    </row>
    <row r="681" spans="1:16" s="16" customFormat="1" ht="24" x14ac:dyDescent="0.2">
      <c r="A681" s="1" t="s">
        <v>1385</v>
      </c>
      <c r="B681" s="1" t="s">
        <v>1386</v>
      </c>
      <c r="C681" s="1" t="s">
        <v>1399</v>
      </c>
      <c r="D681" s="142" t="s">
        <v>1131</v>
      </c>
      <c r="E681" s="143" t="s">
        <v>1025</v>
      </c>
      <c r="F681" s="144" t="s">
        <v>1026</v>
      </c>
      <c r="G681" s="143" t="s">
        <v>38</v>
      </c>
      <c r="H681" s="146">
        <v>4.4000000000000004</v>
      </c>
      <c r="I681" s="146">
        <v>1.3904000000000001</v>
      </c>
      <c r="J681" s="129">
        <v>3500</v>
      </c>
      <c r="K681" s="129">
        <f t="shared" si="54"/>
        <v>4866.4000000000005</v>
      </c>
      <c r="L681" s="129"/>
      <c r="M681" s="129"/>
      <c r="N681" s="129">
        <f>+I681*J681</f>
        <v>4866.4000000000005</v>
      </c>
      <c r="O681" s="129"/>
      <c r="P681" s="129"/>
    </row>
    <row r="682" spans="1:16" s="1" customFormat="1" ht="27" customHeight="1" x14ac:dyDescent="0.2">
      <c r="A682" s="1" t="s">
        <v>1385</v>
      </c>
      <c r="B682" s="1" t="s">
        <v>1386</v>
      </c>
      <c r="C682" s="1" t="s">
        <v>1397</v>
      </c>
      <c r="D682" s="130" t="s">
        <v>1132</v>
      </c>
      <c r="E682" s="131" t="s">
        <v>1133</v>
      </c>
      <c r="F682" s="131" t="s">
        <v>1029</v>
      </c>
      <c r="G682" s="132" t="s">
        <v>21</v>
      </c>
      <c r="H682" s="133">
        <v>0.316</v>
      </c>
      <c r="I682" s="133"/>
      <c r="J682" s="129"/>
      <c r="K682" s="129"/>
      <c r="L682" s="129"/>
      <c r="M682" s="129"/>
      <c r="N682" s="129"/>
      <c r="O682" s="129"/>
      <c r="P682" s="129"/>
    </row>
    <row r="683" spans="1:16" s="14" customFormat="1" x14ac:dyDescent="0.2">
      <c r="A683" s="1" t="s">
        <v>1385</v>
      </c>
      <c r="B683" s="1" t="s">
        <v>1386</v>
      </c>
      <c r="C683" s="1" t="s">
        <v>24</v>
      </c>
      <c r="D683" s="134" t="s">
        <v>1134</v>
      </c>
      <c r="E683" s="135" t="s">
        <v>18</v>
      </c>
      <c r="F683" s="136" t="s">
        <v>23</v>
      </c>
      <c r="G683" s="135" t="s">
        <v>24</v>
      </c>
      <c r="H683" s="137">
        <v>8.5</v>
      </c>
      <c r="I683" s="137">
        <v>2.6859999999999999</v>
      </c>
      <c r="J683" s="129">
        <v>22914.53</v>
      </c>
      <c r="K683" s="129">
        <f>+J683*I683</f>
        <v>61548.427579999996</v>
      </c>
      <c r="L683" s="129">
        <f>+I683*J683</f>
        <v>61548.427579999996</v>
      </c>
      <c r="M683" s="129"/>
      <c r="N683" s="129"/>
      <c r="O683" s="129"/>
      <c r="P683" s="129"/>
    </row>
    <row r="684" spans="1:16" s="15" customFormat="1" x14ac:dyDescent="0.2">
      <c r="A684" s="1" t="s">
        <v>1385</v>
      </c>
      <c r="B684" s="1" t="s">
        <v>1386</v>
      </c>
      <c r="C684" s="1" t="s">
        <v>28</v>
      </c>
      <c r="D684" s="138" t="s">
        <v>1135</v>
      </c>
      <c r="E684" s="139" t="s">
        <v>262</v>
      </c>
      <c r="F684" s="140" t="s">
        <v>263</v>
      </c>
      <c r="G684" s="139" t="s">
        <v>28</v>
      </c>
      <c r="H684" s="141">
        <v>1.7</v>
      </c>
      <c r="I684" s="141">
        <v>0.53720000000000001</v>
      </c>
      <c r="J684" s="129">
        <v>140201</v>
      </c>
      <c r="K684" s="129">
        <f>+J684*I684</f>
        <v>75315.977200000008</v>
      </c>
      <c r="L684" s="129"/>
      <c r="M684" s="129">
        <f>+J684*I684</f>
        <v>75315.977200000008</v>
      </c>
      <c r="N684" s="129"/>
      <c r="O684" s="129"/>
      <c r="P684" s="129"/>
    </row>
    <row r="685" spans="1:16" s="15" customFormat="1" ht="24" x14ac:dyDescent="0.2">
      <c r="A685" s="1" t="s">
        <v>1385</v>
      </c>
      <c r="B685" s="1" t="s">
        <v>1386</v>
      </c>
      <c r="C685" s="1" t="s">
        <v>28</v>
      </c>
      <c r="D685" s="138" t="s">
        <v>1136</v>
      </c>
      <c r="E685" s="139" t="s">
        <v>876</v>
      </c>
      <c r="F685" s="140" t="s">
        <v>877</v>
      </c>
      <c r="G685" s="139" t="s">
        <v>28</v>
      </c>
      <c r="H685" s="141">
        <v>0.85</v>
      </c>
      <c r="I685" s="141">
        <v>0.26860000000000001</v>
      </c>
      <c r="J685" s="129">
        <v>239461</v>
      </c>
      <c r="K685" s="129">
        <f>+J685*I685</f>
        <v>64319.224600000001</v>
      </c>
      <c r="L685" s="129"/>
      <c r="M685" s="129">
        <f>+J685*I685</f>
        <v>64319.224600000001</v>
      </c>
      <c r="N685" s="129"/>
      <c r="O685" s="129"/>
      <c r="P685" s="129"/>
    </row>
    <row r="686" spans="1:16" s="16" customFormat="1" x14ac:dyDescent="0.2">
      <c r="A686" s="1" t="s">
        <v>1385</v>
      </c>
      <c r="B686" s="1" t="s">
        <v>1386</v>
      </c>
      <c r="C686" s="1" t="s">
        <v>1399</v>
      </c>
      <c r="D686" s="142" t="s">
        <v>1137</v>
      </c>
      <c r="E686" s="143" t="s">
        <v>841</v>
      </c>
      <c r="F686" s="144" t="s">
        <v>842</v>
      </c>
      <c r="G686" s="143" t="s">
        <v>420</v>
      </c>
      <c r="H686" s="146">
        <v>8.67</v>
      </c>
      <c r="I686" s="146">
        <v>2.7397</v>
      </c>
      <c r="J686" s="129">
        <v>484821</v>
      </c>
      <c r="K686" s="129">
        <f>+J686*I686</f>
        <v>1328264.0937000001</v>
      </c>
      <c r="L686" s="129"/>
      <c r="M686" s="129"/>
      <c r="N686" s="129">
        <f>+I686*J686</f>
        <v>1328264.0937000001</v>
      </c>
      <c r="O686" s="129"/>
      <c r="P686" s="129"/>
    </row>
    <row r="687" spans="1:16" s="1" customFormat="1" ht="27.75" customHeight="1" x14ac:dyDescent="0.2">
      <c r="A687" s="1" t="s">
        <v>1385</v>
      </c>
      <c r="B687" s="1" t="s">
        <v>1386</v>
      </c>
      <c r="C687" s="1" t="s">
        <v>1397</v>
      </c>
      <c r="D687" s="130" t="s">
        <v>1138</v>
      </c>
      <c r="E687" s="131" t="s">
        <v>1139</v>
      </c>
      <c r="F687" s="131" t="s">
        <v>1140</v>
      </c>
      <c r="G687" s="132" t="s">
        <v>21</v>
      </c>
      <c r="H687" s="133">
        <v>0.316</v>
      </c>
      <c r="I687" s="133"/>
      <c r="J687" s="129"/>
      <c r="K687" s="129"/>
      <c r="L687" s="129"/>
      <c r="M687" s="129"/>
      <c r="N687" s="129"/>
      <c r="O687" s="129"/>
      <c r="P687" s="129"/>
    </row>
    <row r="688" spans="1:16" s="14" customFormat="1" x14ac:dyDescent="0.2">
      <c r="A688" s="1" t="s">
        <v>1385</v>
      </c>
      <c r="B688" s="1" t="s">
        <v>1386</v>
      </c>
      <c r="C688" s="1" t="s">
        <v>24</v>
      </c>
      <c r="D688" s="134" t="s">
        <v>1141</v>
      </c>
      <c r="E688" s="135" t="s">
        <v>18</v>
      </c>
      <c r="F688" s="136" t="s">
        <v>23</v>
      </c>
      <c r="G688" s="135" t="s">
        <v>24</v>
      </c>
      <c r="H688" s="137">
        <v>75.069999999999993</v>
      </c>
      <c r="I688" s="137">
        <v>23.722100000000001</v>
      </c>
      <c r="J688" s="129">
        <v>22914.53</v>
      </c>
      <c r="K688" s="129">
        <f t="shared" ref="K688:K694" si="55">+J688*I688</f>
        <v>543580.77211300004</v>
      </c>
      <c r="L688" s="129">
        <f>+I688*J688</f>
        <v>543580.77211300004</v>
      </c>
      <c r="M688" s="129"/>
      <c r="N688" s="129"/>
      <c r="O688" s="129"/>
      <c r="P688" s="129"/>
    </row>
    <row r="689" spans="1:16" s="15" customFormat="1" x14ac:dyDescent="0.2">
      <c r="A689" s="1" t="s">
        <v>1385</v>
      </c>
      <c r="B689" s="1" t="s">
        <v>1386</v>
      </c>
      <c r="C689" s="1" t="s">
        <v>28</v>
      </c>
      <c r="D689" s="138" t="s">
        <v>1142</v>
      </c>
      <c r="E689" s="139" t="s">
        <v>472</v>
      </c>
      <c r="F689" s="140" t="s">
        <v>473</v>
      </c>
      <c r="G689" s="139" t="s">
        <v>28</v>
      </c>
      <c r="H689" s="141">
        <v>15.16</v>
      </c>
      <c r="I689" s="141">
        <v>4.7906000000000004</v>
      </c>
      <c r="J689" s="129">
        <v>235</v>
      </c>
      <c r="K689" s="129">
        <f t="shared" si="55"/>
        <v>1125.7910000000002</v>
      </c>
      <c r="L689" s="129"/>
      <c r="M689" s="129">
        <f>+J689*I689</f>
        <v>1125.7910000000002</v>
      </c>
      <c r="N689" s="129"/>
      <c r="O689" s="129"/>
      <c r="P689" s="129"/>
    </row>
    <row r="690" spans="1:16" s="15" customFormat="1" x14ac:dyDescent="0.2">
      <c r="A690" s="1" t="s">
        <v>1385</v>
      </c>
      <c r="B690" s="1" t="s">
        <v>1386</v>
      </c>
      <c r="C690" s="1" t="s">
        <v>28</v>
      </c>
      <c r="D690" s="138" t="s">
        <v>1143</v>
      </c>
      <c r="E690" s="139" t="s">
        <v>475</v>
      </c>
      <c r="F690" s="140" t="s">
        <v>476</v>
      </c>
      <c r="G690" s="139" t="s">
        <v>28</v>
      </c>
      <c r="H690" s="141">
        <v>2.34</v>
      </c>
      <c r="I690" s="141">
        <v>0.73943999999999999</v>
      </c>
      <c r="J690" s="129">
        <v>6311</v>
      </c>
      <c r="K690" s="129">
        <f t="shared" si="55"/>
        <v>4666.6058400000002</v>
      </c>
      <c r="L690" s="129"/>
      <c r="M690" s="129">
        <f>+J690*I690</f>
        <v>4666.6058400000002</v>
      </c>
      <c r="N690" s="129"/>
      <c r="O690" s="129"/>
      <c r="P690" s="129"/>
    </row>
    <row r="691" spans="1:16" s="15" customFormat="1" x14ac:dyDescent="0.2">
      <c r="A691" s="1" t="s">
        <v>1385</v>
      </c>
      <c r="B691" s="1" t="s">
        <v>1386</v>
      </c>
      <c r="C691" s="1" t="s">
        <v>28</v>
      </c>
      <c r="D691" s="138" t="s">
        <v>1144</v>
      </c>
      <c r="E691" s="139" t="s">
        <v>30</v>
      </c>
      <c r="F691" s="140" t="s">
        <v>31</v>
      </c>
      <c r="G691" s="139" t="s">
        <v>28</v>
      </c>
      <c r="H691" s="141">
        <v>0.24</v>
      </c>
      <c r="I691" s="141">
        <v>7.5840000000000005E-2</v>
      </c>
      <c r="J691" s="129">
        <v>106655</v>
      </c>
      <c r="K691" s="129">
        <f t="shared" si="55"/>
        <v>8088.7152000000006</v>
      </c>
      <c r="L691" s="129"/>
      <c r="M691" s="129">
        <f>+J691*I691</f>
        <v>8088.7152000000006</v>
      </c>
      <c r="N691" s="129"/>
      <c r="O691" s="129"/>
      <c r="P691" s="129"/>
    </row>
    <row r="692" spans="1:16" s="16" customFormat="1" x14ac:dyDescent="0.2">
      <c r="A692" s="1" t="s">
        <v>1385</v>
      </c>
      <c r="B692" s="1" t="s">
        <v>1386</v>
      </c>
      <c r="C692" s="1" t="s">
        <v>1399</v>
      </c>
      <c r="D692" s="142" t="s">
        <v>1145</v>
      </c>
      <c r="E692" s="143" t="s">
        <v>482</v>
      </c>
      <c r="F692" s="144" t="s">
        <v>483</v>
      </c>
      <c r="G692" s="143" t="s">
        <v>107</v>
      </c>
      <c r="H692" s="146">
        <v>0.25</v>
      </c>
      <c r="I692" s="146">
        <v>7.9000000000000001E-2</v>
      </c>
      <c r="J692" s="129">
        <v>8929000</v>
      </c>
      <c r="K692" s="129">
        <f t="shared" si="55"/>
        <v>705391</v>
      </c>
      <c r="L692" s="129"/>
      <c r="M692" s="129"/>
      <c r="N692" s="129">
        <f>+I692*J692</f>
        <v>705391</v>
      </c>
      <c r="O692" s="129"/>
      <c r="P692" s="129"/>
    </row>
    <row r="693" spans="1:16" s="16" customFormat="1" x14ac:dyDescent="0.2">
      <c r="A693" s="1" t="s">
        <v>1385</v>
      </c>
      <c r="B693" s="1" t="s">
        <v>1386</v>
      </c>
      <c r="C693" s="1" t="s">
        <v>1399</v>
      </c>
      <c r="D693" s="142" t="s">
        <v>1146</v>
      </c>
      <c r="E693" s="143" t="s">
        <v>696</v>
      </c>
      <c r="F693" s="144" t="s">
        <v>486</v>
      </c>
      <c r="G693" s="143" t="s">
        <v>250</v>
      </c>
      <c r="H693" s="145">
        <v>30</v>
      </c>
      <c r="I693" s="146">
        <v>9.48</v>
      </c>
      <c r="J693" s="129">
        <v>2500</v>
      </c>
      <c r="K693" s="129">
        <f t="shared" si="55"/>
        <v>23700</v>
      </c>
      <c r="L693" s="129"/>
      <c r="M693" s="129"/>
      <c r="N693" s="129">
        <f>+I693*J693</f>
        <v>23700</v>
      </c>
      <c r="O693" s="129"/>
      <c r="P693" s="129"/>
    </row>
    <row r="694" spans="1:16" s="16" customFormat="1" x14ac:dyDescent="0.2">
      <c r="A694" s="1" t="s">
        <v>1385</v>
      </c>
      <c r="B694" s="1" t="s">
        <v>1386</v>
      </c>
      <c r="C694" s="1" t="s">
        <v>1399</v>
      </c>
      <c r="D694" s="142" t="s">
        <v>1147</v>
      </c>
      <c r="E694" s="143" t="s">
        <v>1148</v>
      </c>
      <c r="F694" s="144" t="s">
        <v>1149</v>
      </c>
      <c r="G694" s="143" t="s">
        <v>38</v>
      </c>
      <c r="H694" s="145">
        <v>125</v>
      </c>
      <c r="I694" s="146">
        <v>39.5</v>
      </c>
      <c r="J694" s="129">
        <v>18750</v>
      </c>
      <c r="K694" s="129">
        <f t="shared" si="55"/>
        <v>740625</v>
      </c>
      <c r="L694" s="129"/>
      <c r="M694" s="129"/>
      <c r="N694" s="129">
        <f>+I694*J694</f>
        <v>740625</v>
      </c>
      <c r="O694" s="129"/>
      <c r="P694" s="129"/>
    </row>
    <row r="695" spans="1:16" s="1" customFormat="1" ht="25.5" customHeight="1" x14ac:dyDescent="0.2">
      <c r="A695" s="1" t="s">
        <v>1385</v>
      </c>
      <c r="B695" s="1" t="s">
        <v>1386</v>
      </c>
      <c r="C695" s="1" t="s">
        <v>1397</v>
      </c>
      <c r="D695" s="130" t="s">
        <v>1150</v>
      </c>
      <c r="E695" s="131" t="s">
        <v>1151</v>
      </c>
      <c r="F695" s="131" t="s">
        <v>1152</v>
      </c>
      <c r="G695" s="132" t="s">
        <v>21</v>
      </c>
      <c r="H695" s="133">
        <v>0.316</v>
      </c>
      <c r="I695" s="133"/>
      <c r="J695" s="129"/>
      <c r="K695" s="129"/>
      <c r="L695" s="129"/>
      <c r="M695" s="129"/>
      <c r="N695" s="129"/>
      <c r="O695" s="129"/>
      <c r="P695" s="129"/>
    </row>
    <row r="696" spans="1:16" s="14" customFormat="1" x14ac:dyDescent="0.2">
      <c r="A696" s="1" t="s">
        <v>1385</v>
      </c>
      <c r="B696" s="1" t="s">
        <v>1386</v>
      </c>
      <c r="C696" s="1" t="s">
        <v>24</v>
      </c>
      <c r="D696" s="134" t="s">
        <v>1153</v>
      </c>
      <c r="E696" s="135" t="s">
        <v>18</v>
      </c>
      <c r="F696" s="136" t="s">
        <v>23</v>
      </c>
      <c r="G696" s="135" t="s">
        <v>24</v>
      </c>
      <c r="H696" s="137">
        <v>22.99</v>
      </c>
      <c r="I696" s="137">
        <v>7.2648000000000001</v>
      </c>
      <c r="J696" s="129">
        <v>22914.53</v>
      </c>
      <c r="K696" s="129">
        <f t="shared" ref="K696:K701" si="56">+J696*I696</f>
        <v>166469.47754399999</v>
      </c>
      <c r="L696" s="129">
        <f>+I696*J696</f>
        <v>166469.47754399999</v>
      </c>
      <c r="M696" s="129"/>
      <c r="N696" s="129"/>
      <c r="O696" s="129"/>
      <c r="P696" s="129"/>
    </row>
    <row r="697" spans="1:16" s="15" customFormat="1" x14ac:dyDescent="0.2">
      <c r="A697" s="1" t="s">
        <v>1385</v>
      </c>
      <c r="B697" s="1" t="s">
        <v>1386</v>
      </c>
      <c r="C697" s="1" t="s">
        <v>28</v>
      </c>
      <c r="D697" s="138" t="s">
        <v>1154</v>
      </c>
      <c r="E697" s="139" t="s">
        <v>472</v>
      </c>
      <c r="F697" s="140" t="s">
        <v>473</v>
      </c>
      <c r="G697" s="139" t="s">
        <v>28</v>
      </c>
      <c r="H697" s="141">
        <v>8.6999999999999993</v>
      </c>
      <c r="I697" s="141">
        <v>2.7492000000000001</v>
      </c>
      <c r="J697" s="129">
        <v>235</v>
      </c>
      <c r="K697" s="129">
        <f t="shared" si="56"/>
        <v>646.06200000000001</v>
      </c>
      <c r="L697" s="129"/>
      <c r="M697" s="129">
        <f>+J697*I697</f>
        <v>646.06200000000001</v>
      </c>
      <c r="N697" s="129"/>
      <c r="O697" s="129"/>
      <c r="P697" s="129"/>
    </row>
    <row r="698" spans="1:16" s="15" customFormat="1" x14ac:dyDescent="0.2">
      <c r="A698" s="1" t="s">
        <v>1385</v>
      </c>
      <c r="B698" s="1" t="s">
        <v>1386</v>
      </c>
      <c r="C698" s="1" t="s">
        <v>28</v>
      </c>
      <c r="D698" s="138" t="s">
        <v>1155</v>
      </c>
      <c r="E698" s="139" t="s">
        <v>30</v>
      </c>
      <c r="F698" s="140" t="s">
        <v>31</v>
      </c>
      <c r="G698" s="139" t="s">
        <v>28</v>
      </c>
      <c r="H698" s="141">
        <v>0.1</v>
      </c>
      <c r="I698" s="141">
        <v>3.1600000000000003E-2</v>
      </c>
      <c r="J698" s="129">
        <v>106655</v>
      </c>
      <c r="K698" s="129">
        <f t="shared" si="56"/>
        <v>3370.2980000000002</v>
      </c>
      <c r="L698" s="129"/>
      <c r="M698" s="129">
        <f>+J698*I698</f>
        <v>3370.2980000000002</v>
      </c>
      <c r="N698" s="129"/>
      <c r="O698" s="129"/>
      <c r="P698" s="129"/>
    </row>
    <row r="699" spans="1:16" s="16" customFormat="1" x14ac:dyDescent="0.2">
      <c r="A699" s="1" t="s">
        <v>1385</v>
      </c>
      <c r="B699" s="1" t="s">
        <v>1386</v>
      </c>
      <c r="C699" s="1" t="s">
        <v>1399</v>
      </c>
      <c r="D699" s="142" t="s">
        <v>1156</v>
      </c>
      <c r="E699" s="143" t="s">
        <v>482</v>
      </c>
      <c r="F699" s="144" t="s">
        <v>483</v>
      </c>
      <c r="G699" s="143" t="s">
        <v>107</v>
      </c>
      <c r="H699" s="146">
        <v>0.25</v>
      </c>
      <c r="I699" s="146">
        <v>7.9000000000000001E-2</v>
      </c>
      <c r="J699" s="129">
        <v>8929000</v>
      </c>
      <c r="K699" s="129">
        <f t="shared" si="56"/>
        <v>705391</v>
      </c>
      <c r="L699" s="129"/>
      <c r="M699" s="129"/>
      <c r="N699" s="129">
        <f>+I699*J699</f>
        <v>705391</v>
      </c>
      <c r="O699" s="129"/>
      <c r="P699" s="129"/>
    </row>
    <row r="700" spans="1:16" s="16" customFormat="1" x14ac:dyDescent="0.2">
      <c r="A700" s="1" t="s">
        <v>1385</v>
      </c>
      <c r="B700" s="1" t="s">
        <v>1386</v>
      </c>
      <c r="C700" s="1" t="s">
        <v>1399</v>
      </c>
      <c r="D700" s="142" t="s">
        <v>1157</v>
      </c>
      <c r="E700" s="143" t="s">
        <v>696</v>
      </c>
      <c r="F700" s="144" t="s">
        <v>486</v>
      </c>
      <c r="G700" s="143" t="s">
        <v>250</v>
      </c>
      <c r="H700" s="145">
        <v>30</v>
      </c>
      <c r="I700" s="146">
        <v>9.48</v>
      </c>
      <c r="J700" s="129">
        <v>2500</v>
      </c>
      <c r="K700" s="129">
        <f t="shared" si="56"/>
        <v>23700</v>
      </c>
      <c r="L700" s="129"/>
      <c r="M700" s="129"/>
      <c r="N700" s="129">
        <f>+I700*J700</f>
        <v>23700</v>
      </c>
      <c r="O700" s="129"/>
      <c r="P700" s="129"/>
    </row>
    <row r="701" spans="1:16" s="16" customFormat="1" x14ac:dyDescent="0.2">
      <c r="A701" s="1" t="s">
        <v>1385</v>
      </c>
      <c r="B701" s="1" t="s">
        <v>1386</v>
      </c>
      <c r="C701" s="1" t="s">
        <v>1399</v>
      </c>
      <c r="D701" s="142" t="s">
        <v>1158</v>
      </c>
      <c r="E701" s="143" t="s">
        <v>1148</v>
      </c>
      <c r="F701" s="144" t="s">
        <v>1149</v>
      </c>
      <c r="G701" s="143" t="s">
        <v>38</v>
      </c>
      <c r="H701" s="145">
        <v>125</v>
      </c>
      <c r="I701" s="146">
        <v>39.5</v>
      </c>
      <c r="J701" s="129">
        <v>18750</v>
      </c>
      <c r="K701" s="129">
        <f t="shared" si="56"/>
        <v>740625</v>
      </c>
      <c r="L701" s="129"/>
      <c r="M701" s="129"/>
      <c r="N701" s="129">
        <f>+I701*J701</f>
        <v>740625</v>
      </c>
      <c r="O701" s="129"/>
      <c r="P701" s="129"/>
    </row>
    <row r="702" spans="1:16" s="1" customFormat="1" ht="27" customHeight="1" x14ac:dyDescent="0.2">
      <c r="A702" s="1" t="s">
        <v>1385</v>
      </c>
      <c r="B702" s="1" t="s">
        <v>1386</v>
      </c>
      <c r="C702" s="1" t="s">
        <v>1397</v>
      </c>
      <c r="D702" s="130" t="s">
        <v>1159</v>
      </c>
      <c r="E702" s="131" t="s">
        <v>1139</v>
      </c>
      <c r="F702" s="131" t="s">
        <v>1140</v>
      </c>
      <c r="G702" s="132" t="s">
        <v>21</v>
      </c>
      <c r="H702" s="133">
        <v>0.316</v>
      </c>
      <c r="I702" s="133"/>
      <c r="J702" s="129"/>
      <c r="K702" s="129"/>
      <c r="L702" s="129"/>
      <c r="M702" s="129"/>
      <c r="N702" s="129"/>
      <c r="O702" s="129"/>
      <c r="P702" s="129"/>
    </row>
    <row r="703" spans="1:16" s="14" customFormat="1" x14ac:dyDescent="0.2">
      <c r="A703" s="1" t="s">
        <v>1385</v>
      </c>
      <c r="B703" s="1" t="s">
        <v>1386</v>
      </c>
      <c r="C703" s="1" t="s">
        <v>24</v>
      </c>
      <c r="D703" s="134" t="s">
        <v>1160</v>
      </c>
      <c r="E703" s="135" t="s">
        <v>18</v>
      </c>
      <c r="F703" s="136" t="s">
        <v>23</v>
      </c>
      <c r="G703" s="135" t="s">
        <v>24</v>
      </c>
      <c r="H703" s="137">
        <v>75.069999999999993</v>
      </c>
      <c r="I703" s="137">
        <v>23.722100000000001</v>
      </c>
      <c r="J703" s="129">
        <v>22914.53</v>
      </c>
      <c r="K703" s="129">
        <f t="shared" ref="K703:K709" si="57">+J703*I703</f>
        <v>543580.77211300004</v>
      </c>
      <c r="L703" s="129">
        <f>+I703*J703</f>
        <v>543580.77211300004</v>
      </c>
      <c r="M703" s="129"/>
      <c r="N703" s="129"/>
      <c r="O703" s="129"/>
      <c r="P703" s="129"/>
    </row>
    <row r="704" spans="1:16" s="15" customFormat="1" x14ac:dyDescent="0.2">
      <c r="A704" s="1" t="s">
        <v>1385</v>
      </c>
      <c r="B704" s="1" t="s">
        <v>1386</v>
      </c>
      <c r="C704" s="1" t="s">
        <v>28</v>
      </c>
      <c r="D704" s="138" t="s">
        <v>1161</v>
      </c>
      <c r="E704" s="139" t="s">
        <v>472</v>
      </c>
      <c r="F704" s="140" t="s">
        <v>473</v>
      </c>
      <c r="G704" s="139" t="s">
        <v>28</v>
      </c>
      <c r="H704" s="141">
        <v>15.16</v>
      </c>
      <c r="I704" s="141">
        <v>4.7906000000000004</v>
      </c>
      <c r="J704" s="129">
        <v>235</v>
      </c>
      <c r="K704" s="129">
        <f t="shared" si="57"/>
        <v>1125.7910000000002</v>
      </c>
      <c r="L704" s="129"/>
      <c r="M704" s="129">
        <f>+J704*I704</f>
        <v>1125.7910000000002</v>
      </c>
      <c r="N704" s="129"/>
      <c r="O704" s="129"/>
      <c r="P704" s="129"/>
    </row>
    <row r="705" spans="1:16" s="15" customFormat="1" x14ac:dyDescent="0.2">
      <c r="A705" s="1" t="s">
        <v>1385</v>
      </c>
      <c r="B705" s="1" t="s">
        <v>1386</v>
      </c>
      <c r="C705" s="1" t="s">
        <v>28</v>
      </c>
      <c r="D705" s="138" t="s">
        <v>1162</v>
      </c>
      <c r="E705" s="139" t="s">
        <v>475</v>
      </c>
      <c r="F705" s="140" t="s">
        <v>476</v>
      </c>
      <c r="G705" s="139" t="s">
        <v>28</v>
      </c>
      <c r="H705" s="141">
        <v>2.34</v>
      </c>
      <c r="I705" s="141">
        <v>0.73943999999999999</v>
      </c>
      <c r="J705" s="129">
        <v>6311</v>
      </c>
      <c r="K705" s="129">
        <f t="shared" si="57"/>
        <v>4666.6058400000002</v>
      </c>
      <c r="L705" s="129"/>
      <c r="M705" s="129">
        <f>+J705*I705</f>
        <v>4666.6058400000002</v>
      </c>
      <c r="N705" s="129"/>
      <c r="O705" s="129"/>
      <c r="P705" s="129"/>
    </row>
    <row r="706" spans="1:16" s="15" customFormat="1" x14ac:dyDescent="0.2">
      <c r="A706" s="1" t="s">
        <v>1385</v>
      </c>
      <c r="B706" s="1" t="s">
        <v>1386</v>
      </c>
      <c r="C706" s="1" t="s">
        <v>28</v>
      </c>
      <c r="D706" s="138" t="s">
        <v>1163</v>
      </c>
      <c r="E706" s="139" t="s">
        <v>30</v>
      </c>
      <c r="F706" s="140" t="s">
        <v>31</v>
      </c>
      <c r="G706" s="139" t="s">
        <v>28</v>
      </c>
      <c r="H706" s="141">
        <v>0.24</v>
      </c>
      <c r="I706" s="141">
        <v>7.5840000000000005E-2</v>
      </c>
      <c r="J706" s="129">
        <v>106655</v>
      </c>
      <c r="K706" s="129">
        <f t="shared" si="57"/>
        <v>8088.7152000000006</v>
      </c>
      <c r="L706" s="129"/>
      <c r="M706" s="129">
        <f>+J706*I706</f>
        <v>8088.7152000000006</v>
      </c>
      <c r="N706" s="129"/>
      <c r="O706" s="129"/>
      <c r="P706" s="129"/>
    </row>
    <row r="707" spans="1:16" s="16" customFormat="1" x14ac:dyDescent="0.2">
      <c r="A707" s="1" t="s">
        <v>1385</v>
      </c>
      <c r="B707" s="1" t="s">
        <v>1386</v>
      </c>
      <c r="C707" s="1" t="s">
        <v>1399</v>
      </c>
      <c r="D707" s="142" t="s">
        <v>1164</v>
      </c>
      <c r="E707" s="143" t="s">
        <v>482</v>
      </c>
      <c r="F707" s="144" t="s">
        <v>483</v>
      </c>
      <c r="G707" s="143" t="s">
        <v>107</v>
      </c>
      <c r="H707" s="146">
        <v>0.25</v>
      </c>
      <c r="I707" s="146">
        <v>7.9000000000000001E-2</v>
      </c>
      <c r="J707" s="129">
        <v>8929000</v>
      </c>
      <c r="K707" s="129">
        <f t="shared" si="57"/>
        <v>705391</v>
      </c>
      <c r="L707" s="129"/>
      <c r="M707" s="129"/>
      <c r="N707" s="129">
        <f>+I707*J707</f>
        <v>705391</v>
      </c>
      <c r="O707" s="129"/>
      <c r="P707" s="129"/>
    </row>
    <row r="708" spans="1:16" s="16" customFormat="1" x14ac:dyDescent="0.2">
      <c r="A708" s="1" t="s">
        <v>1385</v>
      </c>
      <c r="B708" s="1" t="s">
        <v>1386</v>
      </c>
      <c r="C708" s="1" t="s">
        <v>1399</v>
      </c>
      <c r="D708" s="142" t="s">
        <v>1165</v>
      </c>
      <c r="E708" s="143" t="s">
        <v>696</v>
      </c>
      <c r="F708" s="144" t="s">
        <v>486</v>
      </c>
      <c r="G708" s="143" t="s">
        <v>250</v>
      </c>
      <c r="H708" s="145">
        <v>30</v>
      </c>
      <c r="I708" s="146">
        <v>9.48</v>
      </c>
      <c r="J708" s="129">
        <v>2500</v>
      </c>
      <c r="K708" s="129">
        <f t="shared" si="57"/>
        <v>23700</v>
      </c>
      <c r="L708" s="129"/>
      <c r="M708" s="129"/>
      <c r="N708" s="129">
        <f>+I708*J708</f>
        <v>23700</v>
      </c>
      <c r="O708" s="129"/>
      <c r="P708" s="129"/>
    </row>
    <row r="709" spans="1:16" s="16" customFormat="1" x14ac:dyDescent="0.2">
      <c r="A709" s="1" t="s">
        <v>1385</v>
      </c>
      <c r="B709" s="1" t="s">
        <v>1386</v>
      </c>
      <c r="C709" s="1" t="s">
        <v>1399</v>
      </c>
      <c r="D709" s="142" t="s">
        <v>1166</v>
      </c>
      <c r="E709" s="143" t="s">
        <v>1167</v>
      </c>
      <c r="F709" s="144" t="s">
        <v>1168</v>
      </c>
      <c r="G709" s="143" t="s">
        <v>38</v>
      </c>
      <c r="H709" s="145">
        <v>125</v>
      </c>
      <c r="I709" s="146">
        <v>39.5</v>
      </c>
      <c r="J709" s="129">
        <v>18750</v>
      </c>
      <c r="K709" s="129">
        <f t="shared" si="57"/>
        <v>740625</v>
      </c>
      <c r="L709" s="129"/>
      <c r="M709" s="129"/>
      <c r="N709" s="129">
        <f>+I709*J709</f>
        <v>740625</v>
      </c>
      <c r="O709" s="129"/>
      <c r="P709" s="129"/>
    </row>
    <row r="710" spans="1:16" ht="15.75" x14ac:dyDescent="0.25">
      <c r="A710" s="1" t="s">
        <v>1385</v>
      </c>
      <c r="B710" s="1" t="s">
        <v>1386</v>
      </c>
      <c r="C710" s="1"/>
      <c r="D710" s="127" t="s">
        <v>1169</v>
      </c>
      <c r="E710" s="128"/>
      <c r="F710" s="128"/>
      <c r="G710" s="128"/>
      <c r="H710" s="128"/>
      <c r="I710" s="128"/>
      <c r="J710" s="129"/>
      <c r="K710" s="129"/>
      <c r="L710" s="129"/>
      <c r="M710" s="129"/>
      <c r="N710" s="129"/>
      <c r="O710" s="129"/>
      <c r="P710" s="129"/>
    </row>
    <row r="711" spans="1:16" s="1" customFormat="1" x14ac:dyDescent="0.2">
      <c r="A711" s="1" t="s">
        <v>1385</v>
      </c>
      <c r="B711" s="1" t="s">
        <v>1386</v>
      </c>
      <c r="C711" s="1" t="s">
        <v>1397</v>
      </c>
      <c r="D711" s="130" t="s">
        <v>1170</v>
      </c>
      <c r="E711" s="131" t="s">
        <v>678</v>
      </c>
      <c r="F711" s="131" t="s">
        <v>1171</v>
      </c>
      <c r="G711" s="132" t="s">
        <v>107</v>
      </c>
      <c r="H711" s="133">
        <v>0.75039999999999996</v>
      </c>
      <c r="I711" s="133"/>
      <c r="J711" s="129"/>
      <c r="K711" s="129"/>
      <c r="L711" s="129"/>
      <c r="M711" s="129"/>
      <c r="N711" s="129"/>
      <c r="O711" s="129"/>
      <c r="P711" s="129"/>
    </row>
    <row r="712" spans="1:16" s="14" customFormat="1" x14ac:dyDescent="0.2">
      <c r="A712" s="1" t="s">
        <v>1385</v>
      </c>
      <c r="B712" s="1" t="s">
        <v>1386</v>
      </c>
      <c r="C712" s="1" t="s">
        <v>24</v>
      </c>
      <c r="D712" s="134" t="s">
        <v>1172</v>
      </c>
      <c r="E712" s="135" t="s">
        <v>18</v>
      </c>
      <c r="F712" s="136" t="s">
        <v>23</v>
      </c>
      <c r="G712" s="135" t="s">
        <v>24</v>
      </c>
      <c r="H712" s="137">
        <v>38.26</v>
      </c>
      <c r="I712" s="137">
        <v>28.7103</v>
      </c>
      <c r="J712" s="129">
        <v>22914.53</v>
      </c>
      <c r="K712" s="129">
        <f t="shared" ref="K712:K726" si="58">+J712*I712</f>
        <v>657883.03065899992</v>
      </c>
      <c r="L712" s="129">
        <f>+I712*J712</f>
        <v>657883.03065899992</v>
      </c>
      <c r="M712" s="129"/>
      <c r="N712" s="129"/>
      <c r="O712" s="129"/>
      <c r="P712" s="129"/>
    </row>
    <row r="713" spans="1:16" s="15" customFormat="1" ht="24" x14ac:dyDescent="0.2">
      <c r="A713" s="1" t="s">
        <v>1385</v>
      </c>
      <c r="B713" s="1" t="s">
        <v>1386</v>
      </c>
      <c r="C713" s="1" t="s">
        <v>28</v>
      </c>
      <c r="D713" s="138" t="s">
        <v>1173</v>
      </c>
      <c r="E713" s="139" t="s">
        <v>683</v>
      </c>
      <c r="F713" s="140" t="s">
        <v>684</v>
      </c>
      <c r="G713" s="139" t="s">
        <v>28</v>
      </c>
      <c r="H713" s="141">
        <v>10.97</v>
      </c>
      <c r="I713" s="141">
        <v>8.2318999999999996</v>
      </c>
      <c r="J713" s="129">
        <v>16353</v>
      </c>
      <c r="K713" s="129">
        <f t="shared" si="58"/>
        <v>134616.26069999998</v>
      </c>
      <c r="L713" s="129"/>
      <c r="M713" s="129">
        <f>+J713*I713</f>
        <v>134616.26069999998</v>
      </c>
      <c r="N713" s="129"/>
      <c r="O713" s="129"/>
      <c r="P713" s="129"/>
    </row>
    <row r="714" spans="1:16" s="15" customFormat="1" x14ac:dyDescent="0.2">
      <c r="A714" s="1" t="s">
        <v>1385</v>
      </c>
      <c r="B714" s="1" t="s">
        <v>1386</v>
      </c>
      <c r="C714" s="1" t="s">
        <v>28</v>
      </c>
      <c r="D714" s="138" t="s">
        <v>1174</v>
      </c>
      <c r="E714" s="139" t="s">
        <v>30</v>
      </c>
      <c r="F714" s="140" t="s">
        <v>31</v>
      </c>
      <c r="G714" s="139" t="s">
        <v>28</v>
      </c>
      <c r="H714" s="141">
        <v>0.44</v>
      </c>
      <c r="I714" s="141">
        <v>0.33017600000000003</v>
      </c>
      <c r="J714" s="129">
        <v>106655</v>
      </c>
      <c r="K714" s="129">
        <f t="shared" si="58"/>
        <v>35214.921280000002</v>
      </c>
      <c r="L714" s="129"/>
      <c r="M714" s="129">
        <f>+J714*I714</f>
        <v>35214.921280000002</v>
      </c>
      <c r="N714" s="129"/>
      <c r="O714" s="129"/>
      <c r="P714" s="129"/>
    </row>
    <row r="715" spans="1:16" s="15" customFormat="1" x14ac:dyDescent="0.2">
      <c r="A715" s="1" t="s">
        <v>1385</v>
      </c>
      <c r="B715" s="1" t="s">
        <v>1386</v>
      </c>
      <c r="C715" s="1" t="s">
        <v>28</v>
      </c>
      <c r="D715" s="138" t="s">
        <v>1175</v>
      </c>
      <c r="E715" s="139" t="s">
        <v>687</v>
      </c>
      <c r="F715" s="140" t="s">
        <v>688</v>
      </c>
      <c r="G715" s="139" t="s">
        <v>28</v>
      </c>
      <c r="H715" s="141">
        <v>2.09</v>
      </c>
      <c r="I715" s="141">
        <v>1.5683</v>
      </c>
      <c r="J715" s="129">
        <v>1586</v>
      </c>
      <c r="K715" s="129">
        <f t="shared" si="58"/>
        <v>2487.3238000000001</v>
      </c>
      <c r="L715" s="129"/>
      <c r="M715" s="129">
        <f>+J715*I715</f>
        <v>2487.3238000000001</v>
      </c>
      <c r="N715" s="129"/>
      <c r="O715" s="129"/>
      <c r="P715" s="129"/>
    </row>
    <row r="716" spans="1:16" s="16" customFormat="1" x14ac:dyDescent="0.2">
      <c r="A716" s="1" t="s">
        <v>1385</v>
      </c>
      <c r="B716" s="1" t="s">
        <v>1386</v>
      </c>
      <c r="C716" s="1" t="s">
        <v>1399</v>
      </c>
      <c r="D716" s="142" t="s">
        <v>1176</v>
      </c>
      <c r="E716" s="143" t="s">
        <v>1177</v>
      </c>
      <c r="F716" s="144" t="s">
        <v>1178</v>
      </c>
      <c r="G716" s="143" t="s">
        <v>107</v>
      </c>
      <c r="H716" s="146">
        <v>3.0000000000000001E-5</v>
      </c>
      <c r="I716" s="146">
        <v>2.3E-5</v>
      </c>
      <c r="J716" s="129">
        <v>15402000</v>
      </c>
      <c r="K716" s="129">
        <f t="shared" si="58"/>
        <v>354.24599999999998</v>
      </c>
      <c r="L716" s="129"/>
      <c r="M716" s="129"/>
      <c r="N716" s="129">
        <f t="shared" ref="N716:N726" si="59">+I716*J716</f>
        <v>354.24599999999998</v>
      </c>
      <c r="O716" s="129"/>
      <c r="P716" s="129"/>
    </row>
    <row r="717" spans="1:16" s="16" customFormat="1" x14ac:dyDescent="0.2">
      <c r="A717" s="1" t="s">
        <v>1385</v>
      </c>
      <c r="B717" s="1" t="s">
        <v>1386</v>
      </c>
      <c r="C717" s="1" t="s">
        <v>1399</v>
      </c>
      <c r="D717" s="142" t="s">
        <v>1179</v>
      </c>
      <c r="E717" s="143" t="s">
        <v>124</v>
      </c>
      <c r="F717" s="144" t="s">
        <v>125</v>
      </c>
      <c r="G717" s="143" t="s">
        <v>107</v>
      </c>
      <c r="H717" s="146">
        <v>1.0000000000000001E-5</v>
      </c>
      <c r="I717" s="146">
        <v>7.9999999999999996E-6</v>
      </c>
      <c r="J717" s="129">
        <v>9500000</v>
      </c>
      <c r="K717" s="129">
        <f t="shared" si="58"/>
        <v>76</v>
      </c>
      <c r="L717" s="129"/>
      <c r="M717" s="129"/>
      <c r="N717" s="129">
        <f t="shared" si="59"/>
        <v>76</v>
      </c>
      <c r="O717" s="129"/>
      <c r="P717" s="129"/>
    </row>
    <row r="718" spans="1:16" s="16" customFormat="1" x14ac:dyDescent="0.2">
      <c r="A718" s="1" t="s">
        <v>1385</v>
      </c>
      <c r="B718" s="1" t="s">
        <v>1386</v>
      </c>
      <c r="C718" s="1" t="s">
        <v>1399</v>
      </c>
      <c r="D718" s="142" t="s">
        <v>1180</v>
      </c>
      <c r="E718" s="143" t="s">
        <v>911</v>
      </c>
      <c r="F718" s="144" t="s">
        <v>912</v>
      </c>
      <c r="G718" s="143" t="s">
        <v>107</v>
      </c>
      <c r="H718" s="146">
        <v>3.1E-4</v>
      </c>
      <c r="I718" s="146">
        <v>2.33E-4</v>
      </c>
      <c r="J718" s="129">
        <v>18482000</v>
      </c>
      <c r="K718" s="129">
        <f t="shared" si="58"/>
        <v>4306.3059999999996</v>
      </c>
      <c r="L718" s="129"/>
      <c r="M718" s="129"/>
      <c r="N718" s="129">
        <f t="shared" si="59"/>
        <v>4306.3059999999996</v>
      </c>
      <c r="O718" s="129"/>
      <c r="P718" s="129"/>
    </row>
    <row r="719" spans="1:16" s="16" customFormat="1" x14ac:dyDescent="0.2">
      <c r="A719" s="1" t="s">
        <v>1385</v>
      </c>
      <c r="B719" s="1" t="s">
        <v>1386</v>
      </c>
      <c r="C719" s="1" t="s">
        <v>1399</v>
      </c>
      <c r="D719" s="142" t="s">
        <v>1181</v>
      </c>
      <c r="E719" s="143" t="s">
        <v>1182</v>
      </c>
      <c r="F719" s="144" t="s">
        <v>1183</v>
      </c>
      <c r="G719" s="143" t="s">
        <v>107</v>
      </c>
      <c r="H719" s="146">
        <v>5.9999999999999995E-4</v>
      </c>
      <c r="I719" s="146">
        <v>4.4999999999999999E-4</v>
      </c>
      <c r="J719" s="129">
        <v>14286000</v>
      </c>
      <c r="K719" s="129">
        <f t="shared" si="58"/>
        <v>6428.7</v>
      </c>
      <c r="L719" s="129"/>
      <c r="M719" s="129"/>
      <c r="N719" s="129">
        <f t="shared" si="59"/>
        <v>6428.7</v>
      </c>
      <c r="O719" s="129"/>
      <c r="P719" s="129"/>
    </row>
    <row r="720" spans="1:16" s="16" customFormat="1" x14ac:dyDescent="0.2">
      <c r="A720" s="1" t="s">
        <v>1385</v>
      </c>
      <c r="B720" s="1" t="s">
        <v>1386</v>
      </c>
      <c r="C720" s="1" t="s">
        <v>1399</v>
      </c>
      <c r="D720" s="142" t="s">
        <v>1184</v>
      </c>
      <c r="E720" s="143" t="s">
        <v>1185</v>
      </c>
      <c r="F720" s="144" t="s">
        <v>1186</v>
      </c>
      <c r="G720" s="143" t="s">
        <v>107</v>
      </c>
      <c r="H720" s="146">
        <v>3.0000000000000001E-5</v>
      </c>
      <c r="I720" s="146">
        <v>2.3E-5</v>
      </c>
      <c r="J720" s="129">
        <v>7812501</v>
      </c>
      <c r="K720" s="129">
        <f t="shared" si="58"/>
        <v>179.687523</v>
      </c>
      <c r="L720" s="129"/>
      <c r="M720" s="129"/>
      <c r="N720" s="129">
        <f t="shared" si="59"/>
        <v>179.687523</v>
      </c>
      <c r="O720" s="129"/>
      <c r="P720" s="129"/>
    </row>
    <row r="721" spans="1:17" s="16" customFormat="1" x14ac:dyDescent="0.2">
      <c r="A721" s="1" t="s">
        <v>1385</v>
      </c>
      <c r="B721" s="1" t="s">
        <v>1386</v>
      </c>
      <c r="C721" s="1" t="s">
        <v>1399</v>
      </c>
      <c r="D721" s="142" t="s">
        <v>1187</v>
      </c>
      <c r="E721" s="143" t="s">
        <v>1188</v>
      </c>
      <c r="F721" s="144" t="s">
        <v>1189</v>
      </c>
      <c r="G721" s="143" t="s">
        <v>107</v>
      </c>
      <c r="H721" s="146">
        <v>1.9400000000000001E-3</v>
      </c>
      <c r="I721" s="146">
        <v>1.456E-3</v>
      </c>
      <c r="J721" s="129">
        <v>10500000</v>
      </c>
      <c r="K721" s="129">
        <f t="shared" si="58"/>
        <v>15288</v>
      </c>
      <c r="L721" s="129"/>
      <c r="M721" s="129"/>
      <c r="N721" s="129">
        <f t="shared" si="59"/>
        <v>15288</v>
      </c>
      <c r="O721" s="129"/>
      <c r="P721" s="129"/>
    </row>
    <row r="722" spans="1:17" s="16" customFormat="1" x14ac:dyDescent="0.2">
      <c r="A722" s="1" t="s">
        <v>1385</v>
      </c>
      <c r="B722" s="1" t="s">
        <v>1386</v>
      </c>
      <c r="C722" s="1" t="s">
        <v>1399</v>
      </c>
      <c r="D722" s="142" t="s">
        <v>1190</v>
      </c>
      <c r="E722" s="143" t="s">
        <v>690</v>
      </c>
      <c r="F722" s="144" t="s">
        <v>691</v>
      </c>
      <c r="G722" s="143" t="s">
        <v>420</v>
      </c>
      <c r="H722" s="146">
        <v>1.7</v>
      </c>
      <c r="I722" s="146">
        <v>1.2757000000000001</v>
      </c>
      <c r="J722" s="129">
        <v>4210</v>
      </c>
      <c r="K722" s="129">
        <f t="shared" si="58"/>
        <v>5370.6970000000001</v>
      </c>
      <c r="L722" s="129"/>
      <c r="M722" s="129"/>
      <c r="N722" s="129">
        <f t="shared" si="59"/>
        <v>5370.6970000000001</v>
      </c>
      <c r="O722" s="129"/>
      <c r="P722" s="129"/>
    </row>
    <row r="723" spans="1:17" s="16" customFormat="1" x14ac:dyDescent="0.2">
      <c r="A723" s="1" t="s">
        <v>1385</v>
      </c>
      <c r="B723" s="1" t="s">
        <v>1386</v>
      </c>
      <c r="C723" s="1" t="s">
        <v>1399</v>
      </c>
      <c r="D723" s="142" t="s">
        <v>1191</v>
      </c>
      <c r="E723" s="143" t="s">
        <v>693</v>
      </c>
      <c r="F723" s="144" t="s">
        <v>694</v>
      </c>
      <c r="G723" s="143" t="s">
        <v>107</v>
      </c>
      <c r="H723" s="146">
        <v>6.0000000000000001E-3</v>
      </c>
      <c r="I723" s="146">
        <v>4.5019999999999999E-3</v>
      </c>
      <c r="J723" s="129">
        <v>11250000</v>
      </c>
      <c r="K723" s="129">
        <f t="shared" si="58"/>
        <v>50647.5</v>
      </c>
      <c r="L723" s="129"/>
      <c r="M723" s="129"/>
      <c r="N723" s="129">
        <f t="shared" si="59"/>
        <v>50647.5</v>
      </c>
      <c r="O723" s="129"/>
      <c r="P723" s="129"/>
    </row>
    <row r="724" spans="1:17" s="16" customFormat="1" ht="24" x14ac:dyDescent="0.2">
      <c r="A724" s="1" t="s">
        <v>1385</v>
      </c>
      <c r="B724" s="1" t="s">
        <v>1386</v>
      </c>
      <c r="C724" s="1" t="s">
        <v>1399</v>
      </c>
      <c r="D724" s="142" t="s">
        <v>1192</v>
      </c>
      <c r="E724" s="143" t="s">
        <v>1193</v>
      </c>
      <c r="F724" s="144" t="s">
        <v>1194</v>
      </c>
      <c r="G724" s="143" t="s">
        <v>420</v>
      </c>
      <c r="H724" s="146">
        <v>5.0000000000000001E-4</v>
      </c>
      <c r="I724" s="146">
        <v>3.7500000000000001E-4</v>
      </c>
      <c r="J724" s="129">
        <v>4107143</v>
      </c>
      <c r="K724" s="129">
        <f t="shared" si="58"/>
        <v>1540.178625</v>
      </c>
      <c r="L724" s="129"/>
      <c r="M724" s="129"/>
      <c r="N724" s="129">
        <f t="shared" si="59"/>
        <v>1540.178625</v>
      </c>
      <c r="O724" s="129"/>
      <c r="P724" s="129"/>
    </row>
    <row r="725" spans="1:17" s="16" customFormat="1" x14ac:dyDescent="0.2">
      <c r="A725" s="1" t="s">
        <v>1385</v>
      </c>
      <c r="B725" s="1" t="s">
        <v>1386</v>
      </c>
      <c r="C725" s="1" t="s">
        <v>1399</v>
      </c>
      <c r="D725" s="142" t="s">
        <v>1195</v>
      </c>
      <c r="E725" s="143" t="s">
        <v>696</v>
      </c>
      <c r="F725" s="144" t="s">
        <v>486</v>
      </c>
      <c r="G725" s="143" t="s">
        <v>250</v>
      </c>
      <c r="H725" s="146">
        <v>0.51</v>
      </c>
      <c r="I725" s="146">
        <v>0.38270399999999999</v>
      </c>
      <c r="J725" s="129">
        <v>2500</v>
      </c>
      <c r="K725" s="129">
        <f t="shared" si="58"/>
        <v>956.76</v>
      </c>
      <c r="L725" s="129"/>
      <c r="M725" s="129"/>
      <c r="N725" s="129">
        <f t="shared" si="59"/>
        <v>956.76</v>
      </c>
      <c r="O725" s="129"/>
      <c r="P725" s="129"/>
    </row>
    <row r="726" spans="1:17" s="16" customFormat="1" ht="36" x14ac:dyDescent="0.2">
      <c r="A726" s="1" t="s">
        <v>1385</v>
      </c>
      <c r="B726" s="1" t="s">
        <v>1386</v>
      </c>
      <c r="C726" s="1" t="s">
        <v>1399</v>
      </c>
      <c r="D726" s="142" t="s">
        <v>1196</v>
      </c>
      <c r="E726" s="143" t="s">
        <v>1197</v>
      </c>
      <c r="F726" s="144" t="s">
        <v>1198</v>
      </c>
      <c r="G726" s="143" t="s">
        <v>107</v>
      </c>
      <c r="H726" s="145">
        <v>1</v>
      </c>
      <c r="I726" s="146">
        <v>0.75039999999999996</v>
      </c>
      <c r="J726" s="129">
        <v>9000000</v>
      </c>
      <c r="K726" s="129">
        <f t="shared" si="58"/>
        <v>6753600</v>
      </c>
      <c r="L726" s="129"/>
      <c r="M726" s="129"/>
      <c r="N726" s="129">
        <f t="shared" si="59"/>
        <v>6753600</v>
      </c>
      <c r="O726" s="129"/>
      <c r="P726" s="129"/>
    </row>
    <row r="727" spans="1:17" s="1" customFormat="1" ht="25.5" x14ac:dyDescent="0.2">
      <c r="A727" s="1" t="s">
        <v>1385</v>
      </c>
      <c r="B727" s="1" t="s">
        <v>1386</v>
      </c>
      <c r="C727" s="1" t="s">
        <v>1397</v>
      </c>
      <c r="D727" s="130" t="s">
        <v>1199</v>
      </c>
      <c r="E727" s="131" t="s">
        <v>903</v>
      </c>
      <c r="F727" s="131" t="s">
        <v>904</v>
      </c>
      <c r="G727" s="132" t="s">
        <v>21</v>
      </c>
      <c r="H727" s="133">
        <v>0.3377</v>
      </c>
      <c r="I727" s="133"/>
      <c r="J727" s="129"/>
      <c r="K727" s="129"/>
      <c r="L727" s="129"/>
      <c r="M727" s="129"/>
      <c r="N727" s="129"/>
      <c r="O727" s="129"/>
      <c r="P727" s="129"/>
    </row>
    <row r="728" spans="1:17" s="14" customFormat="1" x14ac:dyDescent="0.2">
      <c r="A728" s="1" t="s">
        <v>1385</v>
      </c>
      <c r="B728" s="1" t="s">
        <v>1386</v>
      </c>
      <c r="C728" s="1" t="s">
        <v>24</v>
      </c>
      <c r="D728" s="134" t="s">
        <v>1200</v>
      </c>
      <c r="E728" s="135" t="s">
        <v>18</v>
      </c>
      <c r="F728" s="136" t="s">
        <v>23</v>
      </c>
      <c r="G728" s="135" t="s">
        <v>24</v>
      </c>
      <c r="H728" s="137">
        <v>5.31</v>
      </c>
      <c r="I728" s="137">
        <v>1.7931999999999999</v>
      </c>
      <c r="J728" s="129">
        <v>22914.53</v>
      </c>
      <c r="K728" s="129">
        <f>+J728*I728</f>
        <v>41090.335195999993</v>
      </c>
      <c r="L728" s="129">
        <f>+I728*J728</f>
        <v>41090.335195999993</v>
      </c>
      <c r="M728" s="129"/>
      <c r="N728" s="129"/>
      <c r="O728" s="129"/>
      <c r="P728" s="129"/>
      <c r="Q728" s="16"/>
    </row>
    <row r="729" spans="1:17" s="15" customFormat="1" x14ac:dyDescent="0.2">
      <c r="A729" s="1" t="s">
        <v>1385</v>
      </c>
      <c r="B729" s="1" t="s">
        <v>1386</v>
      </c>
      <c r="C729" s="1" t="s">
        <v>28</v>
      </c>
      <c r="D729" s="138" t="s">
        <v>1201</v>
      </c>
      <c r="E729" s="139" t="s">
        <v>193</v>
      </c>
      <c r="F729" s="140" t="s">
        <v>31</v>
      </c>
      <c r="G729" s="139" t="s">
        <v>28</v>
      </c>
      <c r="H729" s="141">
        <v>0.01</v>
      </c>
      <c r="I729" s="141">
        <v>3.3769999999999998E-3</v>
      </c>
      <c r="J729" s="129">
        <v>106655</v>
      </c>
      <c r="K729" s="129">
        <f>+J729*I729</f>
        <v>360.17393499999997</v>
      </c>
      <c r="L729" s="129"/>
      <c r="M729" s="129">
        <f>+J729*I729</f>
        <v>360.17393499999997</v>
      </c>
      <c r="N729" s="129"/>
      <c r="O729" s="129"/>
      <c r="P729" s="129"/>
      <c r="Q729" s="16"/>
    </row>
    <row r="730" spans="1:17" s="15" customFormat="1" ht="24" x14ac:dyDescent="0.2">
      <c r="A730" s="1" t="s">
        <v>1385</v>
      </c>
      <c r="B730" s="1" t="s">
        <v>1386</v>
      </c>
      <c r="C730" s="1" t="s">
        <v>28</v>
      </c>
      <c r="D730" s="138" t="s">
        <v>1202</v>
      </c>
      <c r="E730" s="139" t="s">
        <v>908</v>
      </c>
      <c r="F730" s="140" t="s">
        <v>909</v>
      </c>
      <c r="G730" s="139" t="s">
        <v>28</v>
      </c>
      <c r="H730" s="141">
        <v>1.1200000000000001</v>
      </c>
      <c r="I730" s="141">
        <v>0.378224</v>
      </c>
      <c r="J730" s="129">
        <v>6265</v>
      </c>
      <c r="K730" s="129">
        <f>+J730*I730</f>
        <v>2369.5733599999999</v>
      </c>
      <c r="L730" s="129"/>
      <c r="M730" s="129">
        <f>+J730*I730</f>
        <v>2369.5733599999999</v>
      </c>
      <c r="N730" s="129"/>
      <c r="O730" s="129"/>
      <c r="P730" s="129"/>
      <c r="Q730" s="16"/>
    </row>
    <row r="731" spans="1:17" s="16" customFormat="1" x14ac:dyDescent="0.2">
      <c r="A731" s="1" t="s">
        <v>1385</v>
      </c>
      <c r="B731" s="1" t="s">
        <v>1386</v>
      </c>
      <c r="C731" s="1" t="s">
        <v>1399</v>
      </c>
      <c r="D731" s="142" t="s">
        <v>1203</v>
      </c>
      <c r="E731" s="143" t="s">
        <v>911</v>
      </c>
      <c r="F731" s="144" t="s">
        <v>912</v>
      </c>
      <c r="G731" s="143" t="s">
        <v>107</v>
      </c>
      <c r="H731" s="146">
        <v>1.2E-2</v>
      </c>
      <c r="I731" s="146">
        <v>4.052E-3</v>
      </c>
      <c r="J731" s="129">
        <v>18482000</v>
      </c>
      <c r="K731" s="129">
        <f>+J731*I731</f>
        <v>74889.063999999998</v>
      </c>
      <c r="L731" s="129"/>
      <c r="M731" s="129"/>
      <c r="N731" s="129">
        <f>+I731*J731</f>
        <v>74889.063999999998</v>
      </c>
      <c r="O731" s="129"/>
      <c r="P731" s="129"/>
    </row>
    <row r="732" spans="1:17" s="1" customFormat="1" ht="25.5" x14ac:dyDescent="0.2">
      <c r="A732" s="1" t="s">
        <v>1385</v>
      </c>
      <c r="B732" s="1" t="s">
        <v>1386</v>
      </c>
      <c r="C732" s="1" t="s">
        <v>1397</v>
      </c>
      <c r="D732" s="130" t="s">
        <v>1204</v>
      </c>
      <c r="E732" s="131" t="s">
        <v>1205</v>
      </c>
      <c r="F732" s="131" t="s">
        <v>915</v>
      </c>
      <c r="G732" s="132" t="s">
        <v>21</v>
      </c>
      <c r="H732" s="133">
        <v>0.3377</v>
      </c>
      <c r="I732" s="133"/>
      <c r="J732" s="129"/>
      <c r="K732" s="129"/>
      <c r="L732" s="129"/>
      <c r="M732" s="129"/>
      <c r="N732" s="129"/>
      <c r="O732" s="129"/>
      <c r="P732" s="129"/>
    </row>
    <row r="733" spans="1:17" s="14" customFormat="1" x14ac:dyDescent="0.2">
      <c r="A733" s="1" t="s">
        <v>1385</v>
      </c>
      <c r="B733" s="1" t="s">
        <v>1386</v>
      </c>
      <c r="C733" s="1" t="s">
        <v>24</v>
      </c>
      <c r="D733" s="134" t="s">
        <v>1206</v>
      </c>
      <c r="E733" s="135" t="s">
        <v>18</v>
      </c>
      <c r="F733" s="136" t="s">
        <v>23</v>
      </c>
      <c r="G733" s="135" t="s">
        <v>24</v>
      </c>
      <c r="H733" s="137">
        <v>3.83</v>
      </c>
      <c r="I733" s="137">
        <v>1.2934000000000001</v>
      </c>
      <c r="J733" s="129">
        <v>22914.53</v>
      </c>
      <c r="K733" s="129">
        <f>+J733*I733</f>
        <v>29637.653102</v>
      </c>
      <c r="L733" s="129">
        <f>+I733*J733</f>
        <v>29637.653102</v>
      </c>
      <c r="M733" s="129"/>
      <c r="N733" s="129"/>
      <c r="O733" s="129"/>
      <c r="P733" s="129"/>
    </row>
    <row r="734" spans="1:17" s="15" customFormat="1" x14ac:dyDescent="0.2">
      <c r="A734" s="1" t="s">
        <v>1385</v>
      </c>
      <c r="B734" s="1" t="s">
        <v>1386</v>
      </c>
      <c r="C734" s="1" t="s">
        <v>28</v>
      </c>
      <c r="D734" s="138" t="s">
        <v>1207</v>
      </c>
      <c r="E734" s="139" t="s">
        <v>193</v>
      </c>
      <c r="F734" s="140" t="s">
        <v>31</v>
      </c>
      <c r="G734" s="139" t="s">
        <v>28</v>
      </c>
      <c r="H734" s="141">
        <v>0.01</v>
      </c>
      <c r="I734" s="141">
        <v>3.3769999999999998E-3</v>
      </c>
      <c r="J734" s="129">
        <v>106655</v>
      </c>
      <c r="K734" s="129">
        <f>+J734*I734</f>
        <v>360.17393499999997</v>
      </c>
      <c r="L734" s="129"/>
      <c r="M734" s="129">
        <f>+J734*I734</f>
        <v>360.17393499999997</v>
      </c>
      <c r="N734" s="129"/>
      <c r="O734" s="129"/>
      <c r="P734" s="129"/>
    </row>
    <row r="735" spans="1:17" s="15" customFormat="1" ht="24" x14ac:dyDescent="0.2">
      <c r="A735" s="1" t="s">
        <v>1385</v>
      </c>
      <c r="B735" s="1" t="s">
        <v>1386</v>
      </c>
      <c r="C735" s="1" t="s">
        <v>28</v>
      </c>
      <c r="D735" s="138" t="s">
        <v>1208</v>
      </c>
      <c r="E735" s="139" t="s">
        <v>908</v>
      </c>
      <c r="F735" s="140" t="s">
        <v>909</v>
      </c>
      <c r="G735" s="139" t="s">
        <v>28</v>
      </c>
      <c r="H735" s="141">
        <v>0.65</v>
      </c>
      <c r="I735" s="141">
        <v>0.21950500000000001</v>
      </c>
      <c r="J735" s="129">
        <v>6265</v>
      </c>
      <c r="K735" s="129">
        <f>+J735*I735</f>
        <v>1375.1988249999999</v>
      </c>
      <c r="L735" s="129"/>
      <c r="M735" s="129">
        <f>+J735*I735</f>
        <v>1375.1988249999999</v>
      </c>
      <c r="N735" s="129"/>
      <c r="O735" s="129"/>
      <c r="P735" s="129"/>
    </row>
    <row r="736" spans="1:17" s="16" customFormat="1" x14ac:dyDescent="0.2">
      <c r="A736" s="1" t="s">
        <v>1385</v>
      </c>
      <c r="B736" s="1" t="s">
        <v>1386</v>
      </c>
      <c r="C736" s="1" t="s">
        <v>1399</v>
      </c>
      <c r="D736" s="142" t="s">
        <v>1209</v>
      </c>
      <c r="E736" s="143" t="s">
        <v>920</v>
      </c>
      <c r="F736" s="144" t="s">
        <v>921</v>
      </c>
      <c r="G736" s="143" t="s">
        <v>107</v>
      </c>
      <c r="H736" s="146">
        <v>1.9E-2</v>
      </c>
      <c r="I736" s="146">
        <v>6.4159999999999998E-3</v>
      </c>
      <c r="J736" s="129">
        <v>27312000</v>
      </c>
      <c r="K736" s="129">
        <f>+J736*I736</f>
        <v>175233.79199999999</v>
      </c>
      <c r="L736" s="129"/>
      <c r="M736" s="129"/>
      <c r="N736" s="129">
        <f>+I736*J736</f>
        <v>175233.79199999999</v>
      </c>
      <c r="O736" s="129"/>
      <c r="P736" s="129"/>
    </row>
    <row r="737" spans="1:16" s="16" customFormat="1" x14ac:dyDescent="0.2">
      <c r="A737" s="1" t="s">
        <v>1385</v>
      </c>
      <c r="B737" s="1" t="s">
        <v>1386</v>
      </c>
      <c r="C737" s="1" t="s">
        <v>1399</v>
      </c>
      <c r="D737" s="142" t="s">
        <v>1210</v>
      </c>
      <c r="E737" s="143" t="s">
        <v>923</v>
      </c>
      <c r="F737" s="144" t="s">
        <v>924</v>
      </c>
      <c r="G737" s="143" t="s">
        <v>107</v>
      </c>
      <c r="H737" s="146">
        <v>1.4E-3</v>
      </c>
      <c r="I737" s="146">
        <v>4.73E-4</v>
      </c>
      <c r="J737" s="129">
        <v>30246000</v>
      </c>
      <c r="K737" s="129">
        <f>+J737*I737</f>
        <v>14306.358</v>
      </c>
      <c r="L737" s="129"/>
      <c r="M737" s="129"/>
      <c r="N737" s="129">
        <f>+I737*J737</f>
        <v>14306.358</v>
      </c>
      <c r="O737" s="129"/>
      <c r="P737" s="129"/>
    </row>
    <row r="738" spans="1:16" ht="15.75" x14ac:dyDescent="0.25">
      <c r="A738" s="1" t="s">
        <v>1385</v>
      </c>
      <c r="B738" s="1" t="s">
        <v>1386</v>
      </c>
      <c r="C738" s="1"/>
      <c r="D738" s="127" t="s">
        <v>1211</v>
      </c>
      <c r="E738" s="128"/>
      <c r="F738" s="128"/>
      <c r="G738" s="128"/>
      <c r="H738" s="128"/>
      <c r="I738" s="128"/>
      <c r="J738" s="129"/>
      <c r="K738" s="129"/>
      <c r="L738" s="129"/>
      <c r="M738" s="129"/>
      <c r="N738" s="129"/>
      <c r="O738" s="129"/>
      <c r="P738" s="129"/>
    </row>
    <row r="739" spans="1:16" s="1" customFormat="1" ht="38.25" x14ac:dyDescent="0.2">
      <c r="A739" s="1" t="s">
        <v>1385</v>
      </c>
      <c r="B739" s="1" t="s">
        <v>1386</v>
      </c>
      <c r="C739" s="1" t="s">
        <v>1397</v>
      </c>
      <c r="D739" s="130" t="s">
        <v>1020</v>
      </c>
      <c r="E739" s="131" t="s">
        <v>1212</v>
      </c>
      <c r="F739" s="131" t="s">
        <v>1213</v>
      </c>
      <c r="G739" s="132" t="s">
        <v>1214</v>
      </c>
      <c r="H739" s="148">
        <v>1</v>
      </c>
      <c r="I739" s="148"/>
      <c r="J739" s="129"/>
      <c r="K739" s="129"/>
      <c r="L739" s="129"/>
      <c r="M739" s="129"/>
      <c r="N739" s="129"/>
      <c r="O739" s="129"/>
      <c r="P739" s="129"/>
    </row>
    <row r="740" spans="1:16" s="14" customFormat="1" x14ac:dyDescent="0.2">
      <c r="A740" s="1" t="s">
        <v>1385</v>
      </c>
      <c r="B740" s="1" t="s">
        <v>1386</v>
      </c>
      <c r="C740" s="1" t="s">
        <v>24</v>
      </c>
      <c r="D740" s="134" t="s">
        <v>1215</v>
      </c>
      <c r="E740" s="135" t="s">
        <v>18</v>
      </c>
      <c r="F740" s="136" t="s">
        <v>23</v>
      </c>
      <c r="G740" s="135" t="s">
        <v>24</v>
      </c>
      <c r="H740" s="147">
        <v>1694</v>
      </c>
      <c r="I740" s="147">
        <v>1694</v>
      </c>
      <c r="J740" s="129">
        <v>22914.53</v>
      </c>
      <c r="K740" s="129">
        <f t="shared" ref="K740:K761" si="60">+J740*I740</f>
        <v>38817213.82</v>
      </c>
      <c r="L740" s="129">
        <f>+I740*J740</f>
        <v>38817213.82</v>
      </c>
      <c r="M740" s="129"/>
      <c r="N740" s="129"/>
      <c r="O740" s="129"/>
      <c r="P740" s="129"/>
    </row>
    <row r="741" spans="1:16" s="15" customFormat="1" ht="24" x14ac:dyDescent="0.2">
      <c r="A741" s="1" t="s">
        <v>1385</v>
      </c>
      <c r="B741" s="1" t="s">
        <v>1386</v>
      </c>
      <c r="C741" s="1" t="s">
        <v>28</v>
      </c>
      <c r="D741" s="138" t="s">
        <v>1216</v>
      </c>
      <c r="E741" s="139" t="s">
        <v>1217</v>
      </c>
      <c r="F741" s="140" t="s">
        <v>1218</v>
      </c>
      <c r="G741" s="139" t="s">
        <v>28</v>
      </c>
      <c r="H741" s="141">
        <v>110.43</v>
      </c>
      <c r="I741" s="141">
        <v>110.43</v>
      </c>
      <c r="J741" s="129">
        <v>119324</v>
      </c>
      <c r="K741" s="129">
        <f t="shared" si="60"/>
        <v>13176949.32</v>
      </c>
      <c r="L741" s="129"/>
      <c r="M741" s="129">
        <f>+J741*I741</f>
        <v>13176949.32</v>
      </c>
      <c r="N741" s="129"/>
      <c r="O741" s="129"/>
      <c r="P741" s="129"/>
    </row>
    <row r="742" spans="1:16" s="15" customFormat="1" ht="24" x14ac:dyDescent="0.2">
      <c r="A742" s="1" t="s">
        <v>1385</v>
      </c>
      <c r="B742" s="1" t="s">
        <v>1386</v>
      </c>
      <c r="C742" s="1" t="s">
        <v>28</v>
      </c>
      <c r="D742" s="138" t="s">
        <v>1219</v>
      </c>
      <c r="E742" s="139" t="s">
        <v>1220</v>
      </c>
      <c r="F742" s="140" t="s">
        <v>1221</v>
      </c>
      <c r="G742" s="139" t="s">
        <v>28</v>
      </c>
      <c r="H742" s="141">
        <v>5.67</v>
      </c>
      <c r="I742" s="141">
        <v>5.67</v>
      </c>
      <c r="J742" s="129">
        <v>239461</v>
      </c>
      <c r="K742" s="129">
        <f t="shared" si="60"/>
        <v>1357743.8699999999</v>
      </c>
      <c r="L742" s="129"/>
      <c r="M742" s="129">
        <f>+J742*I742</f>
        <v>1357743.8699999999</v>
      </c>
      <c r="N742" s="129"/>
      <c r="O742" s="129"/>
      <c r="P742" s="129"/>
    </row>
    <row r="743" spans="1:16" s="15" customFormat="1" x14ac:dyDescent="0.2">
      <c r="A743" s="1" t="s">
        <v>1385</v>
      </c>
      <c r="B743" s="1" t="s">
        <v>1386</v>
      </c>
      <c r="C743" s="1" t="s">
        <v>28</v>
      </c>
      <c r="D743" s="138" t="s">
        <v>1222</v>
      </c>
      <c r="E743" s="139" t="s">
        <v>1223</v>
      </c>
      <c r="F743" s="140" t="s">
        <v>1224</v>
      </c>
      <c r="G743" s="139" t="s">
        <v>28</v>
      </c>
      <c r="H743" s="141">
        <v>22.02</v>
      </c>
      <c r="I743" s="141">
        <v>22.02</v>
      </c>
      <c r="J743" s="129">
        <v>6372</v>
      </c>
      <c r="K743" s="129">
        <f t="shared" si="60"/>
        <v>140311.44</v>
      </c>
      <c r="L743" s="129"/>
      <c r="M743" s="129">
        <f>+J743*I743</f>
        <v>140311.44</v>
      </c>
      <c r="N743" s="129"/>
      <c r="O743" s="129"/>
      <c r="P743" s="129"/>
    </row>
    <row r="744" spans="1:16" s="15" customFormat="1" x14ac:dyDescent="0.2">
      <c r="A744" s="1" t="s">
        <v>1385</v>
      </c>
      <c r="B744" s="1" t="s">
        <v>1386</v>
      </c>
      <c r="C744" s="1" t="s">
        <v>28</v>
      </c>
      <c r="D744" s="138" t="s">
        <v>1225</v>
      </c>
      <c r="E744" s="139" t="s">
        <v>98</v>
      </c>
      <c r="F744" s="140" t="s">
        <v>99</v>
      </c>
      <c r="G744" s="139" t="s">
        <v>28</v>
      </c>
      <c r="H744" s="141">
        <v>49.74</v>
      </c>
      <c r="I744" s="141">
        <v>49.74</v>
      </c>
      <c r="J744" s="129">
        <v>6858</v>
      </c>
      <c r="K744" s="129">
        <f t="shared" si="60"/>
        <v>341116.92000000004</v>
      </c>
      <c r="L744" s="129"/>
      <c r="M744" s="129">
        <f>+J744*I744</f>
        <v>341116.92000000004</v>
      </c>
      <c r="N744" s="129"/>
      <c r="O744" s="129"/>
      <c r="P744" s="129"/>
    </row>
    <row r="745" spans="1:16" s="15" customFormat="1" x14ac:dyDescent="0.2">
      <c r="A745" s="1" t="s">
        <v>1385</v>
      </c>
      <c r="B745" s="1" t="s">
        <v>1386</v>
      </c>
      <c r="C745" s="1" t="s">
        <v>28</v>
      </c>
      <c r="D745" s="138" t="s">
        <v>1226</v>
      </c>
      <c r="E745" s="139" t="s">
        <v>30</v>
      </c>
      <c r="F745" s="140" t="s">
        <v>31</v>
      </c>
      <c r="G745" s="139" t="s">
        <v>28</v>
      </c>
      <c r="H745" s="141">
        <v>5.67</v>
      </c>
      <c r="I745" s="141">
        <v>5.67</v>
      </c>
      <c r="J745" s="129">
        <v>106655</v>
      </c>
      <c r="K745" s="129">
        <f t="shared" si="60"/>
        <v>604733.85</v>
      </c>
      <c r="L745" s="129"/>
      <c r="M745" s="129">
        <f>+J745*I745</f>
        <v>604733.85</v>
      </c>
      <c r="N745" s="129"/>
      <c r="O745" s="129"/>
      <c r="P745" s="129"/>
    </row>
    <row r="746" spans="1:16" s="16" customFormat="1" x14ac:dyDescent="0.2">
      <c r="A746" s="1" t="s">
        <v>1385</v>
      </c>
      <c r="B746" s="1" t="s">
        <v>1386</v>
      </c>
      <c r="C746" s="1" t="s">
        <v>1399</v>
      </c>
      <c r="D746" s="142" t="s">
        <v>1227</v>
      </c>
      <c r="E746" s="143" t="s">
        <v>1228</v>
      </c>
      <c r="F746" s="144" t="s">
        <v>1229</v>
      </c>
      <c r="G746" s="143" t="s">
        <v>107</v>
      </c>
      <c r="H746" s="146">
        <v>2.5000000000000001E-2</v>
      </c>
      <c r="I746" s="146">
        <v>2.5000000000000001E-2</v>
      </c>
      <c r="J746" s="129">
        <v>15402000</v>
      </c>
      <c r="K746" s="129">
        <f t="shared" si="60"/>
        <v>385050</v>
      </c>
      <c r="L746" s="129"/>
      <c r="M746" s="129"/>
      <c r="N746" s="129">
        <f t="shared" ref="N746:N761" si="61">+I746*J746</f>
        <v>385050</v>
      </c>
      <c r="O746" s="129"/>
      <c r="P746" s="129"/>
    </row>
    <row r="747" spans="1:16" s="16" customFormat="1" x14ac:dyDescent="0.2">
      <c r="A747" s="1" t="s">
        <v>1385</v>
      </c>
      <c r="B747" s="1" t="s">
        <v>1386</v>
      </c>
      <c r="C747" s="1" t="s">
        <v>1399</v>
      </c>
      <c r="D747" s="142" t="s">
        <v>1230</v>
      </c>
      <c r="E747" s="143" t="s">
        <v>1231</v>
      </c>
      <c r="F747" s="144" t="s">
        <v>1232</v>
      </c>
      <c r="G747" s="143" t="s">
        <v>250</v>
      </c>
      <c r="H747" s="146">
        <v>0.15</v>
      </c>
      <c r="I747" s="146">
        <v>0.15</v>
      </c>
      <c r="J747" s="129">
        <v>15402</v>
      </c>
      <c r="K747" s="129">
        <f t="shared" si="60"/>
        <v>2310.2999999999997</v>
      </c>
      <c r="L747" s="129"/>
      <c r="M747" s="129"/>
      <c r="N747" s="129">
        <f t="shared" si="61"/>
        <v>2310.2999999999997</v>
      </c>
      <c r="O747" s="129"/>
      <c r="P747" s="129"/>
    </row>
    <row r="748" spans="1:16" s="16" customFormat="1" x14ac:dyDescent="0.2">
      <c r="A748" s="1" t="s">
        <v>1385</v>
      </c>
      <c r="B748" s="1" t="s">
        <v>1386</v>
      </c>
      <c r="C748" s="1" t="s">
        <v>1399</v>
      </c>
      <c r="D748" s="142" t="s">
        <v>1233</v>
      </c>
      <c r="E748" s="143" t="s">
        <v>1234</v>
      </c>
      <c r="F748" s="144" t="s">
        <v>1235</v>
      </c>
      <c r="G748" s="143" t="s">
        <v>107</v>
      </c>
      <c r="H748" s="146">
        <v>5.0000000000000001E-3</v>
      </c>
      <c r="I748" s="146">
        <v>5.0000000000000001E-3</v>
      </c>
      <c r="J748" s="129">
        <v>18000000</v>
      </c>
      <c r="K748" s="129">
        <f t="shared" si="60"/>
        <v>90000</v>
      </c>
      <c r="L748" s="129"/>
      <c r="M748" s="129"/>
      <c r="N748" s="129">
        <f t="shared" si="61"/>
        <v>90000</v>
      </c>
      <c r="O748" s="129"/>
      <c r="P748" s="129"/>
    </row>
    <row r="749" spans="1:16" s="16" customFormat="1" x14ac:dyDescent="0.2">
      <c r="A749" s="1" t="s">
        <v>1385</v>
      </c>
      <c r="B749" s="1" t="s">
        <v>1386</v>
      </c>
      <c r="C749" s="1" t="s">
        <v>1399</v>
      </c>
      <c r="D749" s="142" t="s">
        <v>1236</v>
      </c>
      <c r="E749" s="143" t="s">
        <v>920</v>
      </c>
      <c r="F749" s="144" t="s">
        <v>921</v>
      </c>
      <c r="G749" s="143" t="s">
        <v>107</v>
      </c>
      <c r="H749" s="146">
        <v>1.5E-3</v>
      </c>
      <c r="I749" s="146">
        <v>1.5E-3</v>
      </c>
      <c r="J749" s="129">
        <v>27312000</v>
      </c>
      <c r="K749" s="129">
        <f t="shared" si="60"/>
        <v>40968</v>
      </c>
      <c r="L749" s="129"/>
      <c r="M749" s="129"/>
      <c r="N749" s="129">
        <f t="shared" si="61"/>
        <v>40968</v>
      </c>
      <c r="O749" s="129"/>
      <c r="P749" s="129"/>
    </row>
    <row r="750" spans="1:16" s="16" customFormat="1" x14ac:dyDescent="0.2">
      <c r="A750" s="1" t="s">
        <v>1385</v>
      </c>
      <c r="B750" s="1" t="s">
        <v>1386</v>
      </c>
      <c r="C750" s="1" t="s">
        <v>1399</v>
      </c>
      <c r="D750" s="142" t="s">
        <v>1237</v>
      </c>
      <c r="E750" s="143" t="s">
        <v>1238</v>
      </c>
      <c r="F750" s="144" t="s">
        <v>1239</v>
      </c>
      <c r="G750" s="143" t="s">
        <v>107</v>
      </c>
      <c r="H750" s="146">
        <v>2.9999999999999997E-4</v>
      </c>
      <c r="I750" s="146">
        <v>2.9999999999999997E-4</v>
      </c>
      <c r="J750" s="129">
        <v>9500000</v>
      </c>
      <c r="K750" s="129">
        <f t="shared" si="60"/>
        <v>2849.9999999999995</v>
      </c>
      <c r="L750" s="129"/>
      <c r="M750" s="129"/>
      <c r="N750" s="129">
        <f t="shared" si="61"/>
        <v>2849.9999999999995</v>
      </c>
      <c r="O750" s="129"/>
      <c r="P750" s="129"/>
    </row>
    <row r="751" spans="1:16" s="16" customFormat="1" x14ac:dyDescent="0.2">
      <c r="A751" s="1" t="s">
        <v>1385</v>
      </c>
      <c r="B751" s="1" t="s">
        <v>1386</v>
      </c>
      <c r="C751" s="1" t="s">
        <v>1399</v>
      </c>
      <c r="D751" s="142" t="s">
        <v>1240</v>
      </c>
      <c r="E751" s="143" t="s">
        <v>1241</v>
      </c>
      <c r="F751" s="144" t="s">
        <v>1242</v>
      </c>
      <c r="G751" s="143" t="s">
        <v>1243</v>
      </c>
      <c r="H751" s="145">
        <v>4</v>
      </c>
      <c r="I751" s="145">
        <v>4</v>
      </c>
      <c r="J751" s="129">
        <v>5000</v>
      </c>
      <c r="K751" s="129">
        <f t="shared" si="60"/>
        <v>20000</v>
      </c>
      <c r="L751" s="129"/>
      <c r="M751" s="129"/>
      <c r="N751" s="129">
        <f t="shared" si="61"/>
        <v>20000</v>
      </c>
      <c r="O751" s="129"/>
      <c r="P751" s="129"/>
    </row>
    <row r="752" spans="1:16" s="16" customFormat="1" x14ac:dyDescent="0.2">
      <c r="A752" s="1" t="s">
        <v>1385</v>
      </c>
      <c r="B752" s="1" t="s">
        <v>1386</v>
      </c>
      <c r="C752" s="1" t="s">
        <v>1399</v>
      </c>
      <c r="D752" s="142" t="s">
        <v>1244</v>
      </c>
      <c r="E752" s="143" t="s">
        <v>1245</v>
      </c>
      <c r="F752" s="144" t="s">
        <v>1246</v>
      </c>
      <c r="G752" s="143" t="s">
        <v>250</v>
      </c>
      <c r="H752" s="146">
        <v>0.05</v>
      </c>
      <c r="I752" s="146">
        <v>0.05</v>
      </c>
      <c r="J752" s="129">
        <v>5000</v>
      </c>
      <c r="K752" s="129">
        <f t="shared" si="60"/>
        <v>250</v>
      </c>
      <c r="L752" s="129"/>
      <c r="M752" s="129"/>
      <c r="N752" s="129">
        <f t="shared" si="61"/>
        <v>250</v>
      </c>
      <c r="O752" s="129"/>
      <c r="P752" s="129"/>
    </row>
    <row r="753" spans="1:16" s="16" customFormat="1" x14ac:dyDescent="0.2">
      <c r="A753" s="1" t="s">
        <v>1385</v>
      </c>
      <c r="B753" s="1" t="s">
        <v>1386</v>
      </c>
      <c r="C753" s="1" t="s">
        <v>1399</v>
      </c>
      <c r="D753" s="142" t="s">
        <v>1247</v>
      </c>
      <c r="E753" s="143" t="s">
        <v>1248</v>
      </c>
      <c r="F753" s="144" t="s">
        <v>1249</v>
      </c>
      <c r="G753" s="143" t="s">
        <v>107</v>
      </c>
      <c r="H753" s="146">
        <v>1E-3</v>
      </c>
      <c r="I753" s="146">
        <v>1E-3</v>
      </c>
      <c r="J753" s="129">
        <v>16072000</v>
      </c>
      <c r="K753" s="129">
        <f t="shared" si="60"/>
        <v>16072</v>
      </c>
      <c r="L753" s="129"/>
      <c r="M753" s="129"/>
      <c r="N753" s="129">
        <f t="shared" si="61"/>
        <v>16072</v>
      </c>
      <c r="O753" s="129"/>
      <c r="P753" s="129"/>
    </row>
    <row r="754" spans="1:16" s="16" customFormat="1" x14ac:dyDescent="0.2">
      <c r="A754" s="1" t="s">
        <v>1385</v>
      </c>
      <c r="B754" s="1" t="s">
        <v>1386</v>
      </c>
      <c r="C754" s="1" t="s">
        <v>1399</v>
      </c>
      <c r="D754" s="142" t="s">
        <v>1250</v>
      </c>
      <c r="E754" s="143" t="s">
        <v>1251</v>
      </c>
      <c r="F754" s="144" t="s">
        <v>1252</v>
      </c>
      <c r="G754" s="143" t="s">
        <v>107</v>
      </c>
      <c r="H754" s="146">
        <v>2.5999999999999999E-2</v>
      </c>
      <c r="I754" s="146">
        <v>2.5999999999999999E-2</v>
      </c>
      <c r="J754" s="129">
        <v>11250000</v>
      </c>
      <c r="K754" s="129">
        <f t="shared" si="60"/>
        <v>292500</v>
      </c>
      <c r="L754" s="129"/>
      <c r="M754" s="129"/>
      <c r="N754" s="129">
        <f t="shared" si="61"/>
        <v>292500</v>
      </c>
      <c r="O754" s="129"/>
      <c r="P754" s="129"/>
    </row>
    <row r="755" spans="1:16" s="16" customFormat="1" x14ac:dyDescent="0.2">
      <c r="A755" s="1" t="s">
        <v>1385</v>
      </c>
      <c r="B755" s="1" t="s">
        <v>1386</v>
      </c>
      <c r="C755" s="1" t="s">
        <v>1399</v>
      </c>
      <c r="D755" s="142" t="s">
        <v>1253</v>
      </c>
      <c r="E755" s="143" t="s">
        <v>1254</v>
      </c>
      <c r="F755" s="144" t="s">
        <v>1255</v>
      </c>
      <c r="G755" s="143" t="s">
        <v>107</v>
      </c>
      <c r="H755" s="146">
        <v>1.2E-2</v>
      </c>
      <c r="I755" s="146">
        <v>1.2E-2</v>
      </c>
      <c r="J755" s="129">
        <v>8714745</v>
      </c>
      <c r="K755" s="129">
        <f t="shared" si="60"/>
        <v>104576.94</v>
      </c>
      <c r="L755" s="129"/>
      <c r="M755" s="129"/>
      <c r="N755" s="129">
        <f t="shared" si="61"/>
        <v>104576.94</v>
      </c>
      <c r="O755" s="129"/>
      <c r="P755" s="129"/>
    </row>
    <row r="756" spans="1:16" s="16" customFormat="1" x14ac:dyDescent="0.2">
      <c r="A756" s="1" t="s">
        <v>1385</v>
      </c>
      <c r="B756" s="1" t="s">
        <v>1386</v>
      </c>
      <c r="C756" s="1" t="s">
        <v>1399</v>
      </c>
      <c r="D756" s="142" t="s">
        <v>1256</v>
      </c>
      <c r="E756" s="143" t="s">
        <v>1257</v>
      </c>
      <c r="F756" s="144" t="s">
        <v>1258</v>
      </c>
      <c r="G756" s="143" t="s">
        <v>250</v>
      </c>
      <c r="H756" s="146">
        <v>0.25</v>
      </c>
      <c r="I756" s="146">
        <v>0.25</v>
      </c>
      <c r="J756" s="129">
        <v>5000</v>
      </c>
      <c r="K756" s="129">
        <f t="shared" si="60"/>
        <v>1250</v>
      </c>
      <c r="L756" s="129"/>
      <c r="M756" s="129"/>
      <c r="N756" s="129">
        <f t="shared" si="61"/>
        <v>1250</v>
      </c>
      <c r="O756" s="129"/>
      <c r="P756" s="129"/>
    </row>
    <row r="757" spans="1:16" s="16" customFormat="1" x14ac:dyDescent="0.2">
      <c r="A757" s="1" t="s">
        <v>1385</v>
      </c>
      <c r="B757" s="1" t="s">
        <v>1386</v>
      </c>
      <c r="C757" s="1" t="s">
        <v>1399</v>
      </c>
      <c r="D757" s="142" t="s">
        <v>1259</v>
      </c>
      <c r="E757" s="143" t="s">
        <v>1260</v>
      </c>
      <c r="F757" s="144" t="s">
        <v>1261</v>
      </c>
      <c r="G757" s="143" t="s">
        <v>42</v>
      </c>
      <c r="H757" s="145">
        <v>170</v>
      </c>
      <c r="I757" s="145">
        <v>170</v>
      </c>
      <c r="J757" s="129">
        <v>1250</v>
      </c>
      <c r="K757" s="129">
        <f t="shared" si="60"/>
        <v>212500</v>
      </c>
      <c r="L757" s="129"/>
      <c r="M757" s="129"/>
      <c r="N757" s="129">
        <f t="shared" si="61"/>
        <v>212500</v>
      </c>
      <c r="O757" s="129"/>
      <c r="P757" s="129"/>
    </row>
    <row r="758" spans="1:16" s="16" customFormat="1" x14ac:dyDescent="0.2">
      <c r="A758" s="1" t="s">
        <v>1385</v>
      </c>
      <c r="B758" s="1" t="s">
        <v>1386</v>
      </c>
      <c r="C758" s="1" t="s">
        <v>1399</v>
      </c>
      <c r="D758" s="142" t="s">
        <v>1262</v>
      </c>
      <c r="E758" s="143" t="s">
        <v>1263</v>
      </c>
      <c r="F758" s="144" t="s">
        <v>1264</v>
      </c>
      <c r="G758" s="143" t="s">
        <v>69</v>
      </c>
      <c r="H758" s="145">
        <v>90</v>
      </c>
      <c r="I758" s="145">
        <v>90</v>
      </c>
      <c r="J758" s="129">
        <v>11696</v>
      </c>
      <c r="K758" s="129">
        <f t="shared" si="60"/>
        <v>1052640</v>
      </c>
      <c r="L758" s="129"/>
      <c r="M758" s="129"/>
      <c r="N758" s="129">
        <f t="shared" si="61"/>
        <v>1052640</v>
      </c>
      <c r="O758" s="129"/>
      <c r="P758" s="129"/>
    </row>
    <row r="759" spans="1:16" s="16" customFormat="1" x14ac:dyDescent="0.2">
      <c r="A759" s="1" t="s">
        <v>1385</v>
      </c>
      <c r="B759" s="1" t="s">
        <v>1386</v>
      </c>
      <c r="C759" s="1" t="s">
        <v>1399</v>
      </c>
      <c r="D759" s="142" t="s">
        <v>1265</v>
      </c>
      <c r="E759" s="143" t="s">
        <v>1266</v>
      </c>
      <c r="F759" s="144" t="s">
        <v>1267</v>
      </c>
      <c r="G759" s="143" t="s">
        <v>250</v>
      </c>
      <c r="H759" s="146">
        <v>0.3</v>
      </c>
      <c r="I759" s="146">
        <v>0.3</v>
      </c>
      <c r="J759" s="129">
        <v>4500</v>
      </c>
      <c r="K759" s="129">
        <f t="shared" si="60"/>
        <v>1350</v>
      </c>
      <c r="L759" s="129"/>
      <c r="M759" s="129"/>
      <c r="N759" s="129">
        <f t="shared" si="61"/>
        <v>1350</v>
      </c>
      <c r="O759" s="129"/>
      <c r="P759" s="129"/>
    </row>
    <row r="760" spans="1:16" s="16" customFormat="1" x14ac:dyDescent="0.2">
      <c r="A760" s="1" t="s">
        <v>1385</v>
      </c>
      <c r="B760" s="1" t="s">
        <v>1386</v>
      </c>
      <c r="C760" s="1" t="s">
        <v>1399</v>
      </c>
      <c r="D760" s="142" t="s">
        <v>1268</v>
      </c>
      <c r="E760" s="143" t="s">
        <v>1269</v>
      </c>
      <c r="F760" s="144" t="s">
        <v>1270</v>
      </c>
      <c r="G760" s="143" t="s">
        <v>250</v>
      </c>
      <c r="H760" s="146">
        <v>1.1000000000000001</v>
      </c>
      <c r="I760" s="146">
        <v>1.1000000000000001</v>
      </c>
      <c r="J760" s="129">
        <v>4500</v>
      </c>
      <c r="K760" s="129">
        <f t="shared" si="60"/>
        <v>4950</v>
      </c>
      <c r="L760" s="129"/>
      <c r="M760" s="129"/>
      <c r="N760" s="129">
        <f t="shared" si="61"/>
        <v>4950</v>
      </c>
      <c r="O760" s="129"/>
      <c r="P760" s="129"/>
    </row>
    <row r="761" spans="1:16" s="16" customFormat="1" ht="36" x14ac:dyDescent="0.2">
      <c r="A761" s="1" t="s">
        <v>1385</v>
      </c>
      <c r="B761" s="1" t="s">
        <v>1386</v>
      </c>
      <c r="C761" s="1" t="s">
        <v>1399</v>
      </c>
      <c r="D761" s="142" t="s">
        <v>1271</v>
      </c>
      <c r="E761" s="143" t="s">
        <v>1272</v>
      </c>
      <c r="F761" s="144" t="s">
        <v>1273</v>
      </c>
      <c r="G761" s="143" t="s">
        <v>250</v>
      </c>
      <c r="H761" s="146">
        <v>0.8</v>
      </c>
      <c r="I761" s="146">
        <v>0.8</v>
      </c>
      <c r="J761" s="129">
        <v>15000</v>
      </c>
      <c r="K761" s="129">
        <f t="shared" si="60"/>
        <v>12000</v>
      </c>
      <c r="L761" s="129"/>
      <c r="M761" s="129"/>
      <c r="N761" s="129">
        <f t="shared" si="61"/>
        <v>12000</v>
      </c>
      <c r="O761" s="129"/>
      <c r="P761" s="129"/>
    </row>
    <row r="762" spans="1:16" s="1" customFormat="1" ht="38.25" x14ac:dyDescent="0.2">
      <c r="A762" s="1" t="s">
        <v>1385</v>
      </c>
      <c r="B762" s="1" t="s">
        <v>1386</v>
      </c>
      <c r="C762" s="1" t="s">
        <v>1397</v>
      </c>
      <c r="D762" s="130" t="s">
        <v>1274</v>
      </c>
      <c r="E762" s="131" t="s">
        <v>1275</v>
      </c>
      <c r="F762" s="131" t="s">
        <v>1276</v>
      </c>
      <c r="G762" s="132" t="s">
        <v>1277</v>
      </c>
      <c r="H762" s="148">
        <v>-3</v>
      </c>
      <c r="I762" s="148"/>
      <c r="J762" s="129"/>
      <c r="K762" s="129"/>
      <c r="L762" s="129"/>
      <c r="M762" s="129"/>
      <c r="N762" s="129"/>
      <c r="O762" s="129"/>
      <c r="P762" s="129"/>
    </row>
    <row r="763" spans="1:16" s="14" customFormat="1" x14ac:dyDescent="0.2">
      <c r="A763" s="1" t="s">
        <v>1385</v>
      </c>
      <c r="B763" s="1" t="s">
        <v>1386</v>
      </c>
      <c r="C763" s="1" t="s">
        <v>24</v>
      </c>
      <c r="D763" s="134" t="s">
        <v>1278</v>
      </c>
      <c r="E763" s="135" t="s">
        <v>18</v>
      </c>
      <c r="F763" s="136" t="s">
        <v>23</v>
      </c>
      <c r="G763" s="135" t="s">
        <v>24</v>
      </c>
      <c r="H763" s="137">
        <v>192.9</v>
      </c>
      <c r="I763" s="137">
        <v>-578.70000000000005</v>
      </c>
      <c r="J763" s="129">
        <v>22914.53</v>
      </c>
      <c r="K763" s="129">
        <f t="shared" ref="K763:K783" si="62">+J763*I763</f>
        <v>-13260638.511</v>
      </c>
      <c r="L763" s="129">
        <f>+I763*J763</f>
        <v>-13260638.511</v>
      </c>
      <c r="M763" s="129"/>
      <c r="N763" s="129"/>
      <c r="O763" s="129"/>
      <c r="P763" s="129"/>
    </row>
    <row r="764" spans="1:16" s="15" customFormat="1" ht="24" x14ac:dyDescent="0.2">
      <c r="A764" s="1" t="s">
        <v>1385</v>
      </c>
      <c r="B764" s="1" t="s">
        <v>1386</v>
      </c>
      <c r="C764" s="1" t="s">
        <v>28</v>
      </c>
      <c r="D764" s="138" t="s">
        <v>1279</v>
      </c>
      <c r="E764" s="139" t="s">
        <v>1217</v>
      </c>
      <c r="F764" s="140" t="s">
        <v>1218</v>
      </c>
      <c r="G764" s="139" t="s">
        <v>28</v>
      </c>
      <c r="H764" s="141">
        <v>12.78</v>
      </c>
      <c r="I764" s="141">
        <v>-38.340000000000003</v>
      </c>
      <c r="J764" s="129">
        <v>119324</v>
      </c>
      <c r="K764" s="129">
        <f t="shared" si="62"/>
        <v>-4574882.16</v>
      </c>
      <c r="L764" s="129"/>
      <c r="M764" s="129">
        <f>+J764*I764</f>
        <v>-4574882.16</v>
      </c>
      <c r="N764" s="129"/>
      <c r="O764" s="129"/>
      <c r="P764" s="129"/>
    </row>
    <row r="765" spans="1:16" s="15" customFormat="1" ht="24" x14ac:dyDescent="0.2">
      <c r="A765" s="1" t="s">
        <v>1385</v>
      </c>
      <c r="B765" s="1" t="s">
        <v>1386</v>
      </c>
      <c r="C765" s="1" t="s">
        <v>28</v>
      </c>
      <c r="D765" s="138" t="s">
        <v>1280</v>
      </c>
      <c r="E765" s="139" t="s">
        <v>1220</v>
      </c>
      <c r="F765" s="140" t="s">
        <v>1221</v>
      </c>
      <c r="G765" s="139" t="s">
        <v>28</v>
      </c>
      <c r="H765" s="141">
        <v>0.93</v>
      </c>
      <c r="I765" s="141">
        <v>-2.79</v>
      </c>
      <c r="J765" s="129">
        <v>239461</v>
      </c>
      <c r="K765" s="129">
        <f t="shared" si="62"/>
        <v>-668096.19000000006</v>
      </c>
      <c r="L765" s="129"/>
      <c r="M765" s="129">
        <f>+J765*I765</f>
        <v>-668096.19000000006</v>
      </c>
      <c r="N765" s="129"/>
      <c r="O765" s="129"/>
      <c r="P765" s="129"/>
    </row>
    <row r="766" spans="1:16" s="15" customFormat="1" x14ac:dyDescent="0.2">
      <c r="A766" s="1" t="s">
        <v>1385</v>
      </c>
      <c r="B766" s="1" t="s">
        <v>1386</v>
      </c>
      <c r="C766" s="1" t="s">
        <v>28</v>
      </c>
      <c r="D766" s="138" t="s">
        <v>1281</v>
      </c>
      <c r="E766" s="139" t="s">
        <v>98</v>
      </c>
      <c r="F766" s="140" t="s">
        <v>99</v>
      </c>
      <c r="G766" s="139" t="s">
        <v>28</v>
      </c>
      <c r="H766" s="141">
        <v>4.3499999999999996</v>
      </c>
      <c r="I766" s="141">
        <v>-13.05</v>
      </c>
      <c r="J766" s="129">
        <v>6858</v>
      </c>
      <c r="K766" s="129">
        <f t="shared" si="62"/>
        <v>-89496.900000000009</v>
      </c>
      <c r="L766" s="129"/>
      <c r="M766" s="129">
        <f>+J766*I766</f>
        <v>-89496.900000000009</v>
      </c>
      <c r="N766" s="129"/>
      <c r="O766" s="129"/>
      <c r="P766" s="129"/>
    </row>
    <row r="767" spans="1:16" s="15" customFormat="1" x14ac:dyDescent="0.2">
      <c r="A767" s="1" t="s">
        <v>1385</v>
      </c>
      <c r="B767" s="1" t="s">
        <v>1386</v>
      </c>
      <c r="C767" s="1" t="s">
        <v>28</v>
      </c>
      <c r="D767" s="138" t="s">
        <v>1282</v>
      </c>
      <c r="E767" s="139" t="s">
        <v>30</v>
      </c>
      <c r="F767" s="140" t="s">
        <v>31</v>
      </c>
      <c r="G767" s="139" t="s">
        <v>28</v>
      </c>
      <c r="H767" s="141">
        <v>0.93</v>
      </c>
      <c r="I767" s="141">
        <v>-2.79</v>
      </c>
      <c r="J767" s="129">
        <v>106655</v>
      </c>
      <c r="K767" s="129">
        <f t="shared" si="62"/>
        <v>-297567.45</v>
      </c>
      <c r="L767" s="129"/>
      <c r="M767" s="129">
        <f>+J767*I767</f>
        <v>-297567.45</v>
      </c>
      <c r="N767" s="129"/>
      <c r="O767" s="129"/>
      <c r="P767" s="129"/>
    </row>
    <row r="768" spans="1:16" s="16" customFormat="1" x14ac:dyDescent="0.2">
      <c r="A768" s="1" t="s">
        <v>1385</v>
      </c>
      <c r="B768" s="1" t="s">
        <v>1386</v>
      </c>
      <c r="C768" s="1" t="s">
        <v>1399</v>
      </c>
      <c r="D768" s="142" t="s">
        <v>1283</v>
      </c>
      <c r="E768" s="143" t="s">
        <v>1228</v>
      </c>
      <c r="F768" s="144" t="s">
        <v>1229</v>
      </c>
      <c r="G768" s="143" t="s">
        <v>107</v>
      </c>
      <c r="H768" s="146">
        <v>1.8E-3</v>
      </c>
      <c r="I768" s="146">
        <v>-5.4000000000000003E-3</v>
      </c>
      <c r="J768" s="129">
        <v>15402000</v>
      </c>
      <c r="K768" s="129">
        <f t="shared" si="62"/>
        <v>-83170.8</v>
      </c>
      <c r="L768" s="129"/>
      <c r="M768" s="129"/>
      <c r="N768" s="129">
        <f t="shared" ref="N768:N783" si="63">+I768*J768</f>
        <v>-83170.8</v>
      </c>
      <c r="O768" s="129"/>
      <c r="P768" s="129"/>
    </row>
    <row r="769" spans="1:16" s="16" customFormat="1" x14ac:dyDescent="0.2">
      <c r="A769" s="1" t="s">
        <v>1385</v>
      </c>
      <c r="B769" s="1" t="s">
        <v>1386</v>
      </c>
      <c r="C769" s="1" t="s">
        <v>1399</v>
      </c>
      <c r="D769" s="142" t="s">
        <v>1284</v>
      </c>
      <c r="E769" s="143" t="s">
        <v>1231</v>
      </c>
      <c r="F769" s="144" t="s">
        <v>1232</v>
      </c>
      <c r="G769" s="143" t="s">
        <v>250</v>
      </c>
      <c r="H769" s="146">
        <v>2.1000000000000001E-2</v>
      </c>
      <c r="I769" s="146">
        <v>-6.3E-2</v>
      </c>
      <c r="J769" s="129">
        <v>15402</v>
      </c>
      <c r="K769" s="129">
        <f t="shared" si="62"/>
        <v>-970.32600000000002</v>
      </c>
      <c r="L769" s="129"/>
      <c r="M769" s="129"/>
      <c r="N769" s="129">
        <f t="shared" si="63"/>
        <v>-970.32600000000002</v>
      </c>
      <c r="O769" s="129"/>
      <c r="P769" s="129"/>
    </row>
    <row r="770" spans="1:16" s="16" customFormat="1" x14ac:dyDescent="0.2">
      <c r="A770" s="1" t="s">
        <v>1385</v>
      </c>
      <c r="B770" s="1" t="s">
        <v>1386</v>
      </c>
      <c r="C770" s="1" t="s">
        <v>1399</v>
      </c>
      <c r="D770" s="142" t="s">
        <v>1285</v>
      </c>
      <c r="E770" s="143" t="s">
        <v>1234</v>
      </c>
      <c r="F770" s="144" t="s">
        <v>1235</v>
      </c>
      <c r="G770" s="143" t="s">
        <v>107</v>
      </c>
      <c r="H770" s="146">
        <v>5.9999999999999995E-4</v>
      </c>
      <c r="I770" s="146">
        <v>-1.8E-3</v>
      </c>
      <c r="J770" s="129">
        <v>18000000</v>
      </c>
      <c r="K770" s="129">
        <f t="shared" si="62"/>
        <v>-32400</v>
      </c>
      <c r="L770" s="129"/>
      <c r="M770" s="129"/>
      <c r="N770" s="129">
        <f t="shared" si="63"/>
        <v>-32400</v>
      </c>
      <c r="O770" s="129"/>
      <c r="P770" s="129"/>
    </row>
    <row r="771" spans="1:16" s="16" customFormat="1" x14ac:dyDescent="0.2">
      <c r="A771" s="1" t="s">
        <v>1385</v>
      </c>
      <c r="B771" s="1" t="s">
        <v>1386</v>
      </c>
      <c r="C771" s="1" t="s">
        <v>1399</v>
      </c>
      <c r="D771" s="142" t="s">
        <v>1286</v>
      </c>
      <c r="E771" s="143" t="s">
        <v>920</v>
      </c>
      <c r="F771" s="144" t="s">
        <v>921</v>
      </c>
      <c r="G771" s="143" t="s">
        <v>107</v>
      </c>
      <c r="H771" s="146">
        <v>1.4999999999999999E-4</v>
      </c>
      <c r="I771" s="146">
        <v>-4.4999999999999999E-4</v>
      </c>
      <c r="J771" s="129">
        <v>27312000</v>
      </c>
      <c r="K771" s="129">
        <f t="shared" si="62"/>
        <v>-12290.4</v>
      </c>
      <c r="L771" s="129"/>
      <c r="M771" s="129"/>
      <c r="N771" s="129">
        <f t="shared" si="63"/>
        <v>-12290.4</v>
      </c>
      <c r="O771" s="129"/>
      <c r="P771" s="129"/>
    </row>
    <row r="772" spans="1:16" s="16" customFormat="1" x14ac:dyDescent="0.2">
      <c r="A772" s="1" t="s">
        <v>1385</v>
      </c>
      <c r="B772" s="1" t="s">
        <v>1386</v>
      </c>
      <c r="C772" s="1" t="s">
        <v>1399</v>
      </c>
      <c r="D772" s="142" t="s">
        <v>1287</v>
      </c>
      <c r="E772" s="143" t="s">
        <v>1238</v>
      </c>
      <c r="F772" s="144" t="s">
        <v>1239</v>
      </c>
      <c r="G772" s="143" t="s">
        <v>107</v>
      </c>
      <c r="H772" s="146">
        <v>6.0000000000000002E-5</v>
      </c>
      <c r="I772" s="146">
        <v>-1.8000000000000001E-4</v>
      </c>
      <c r="J772" s="129">
        <v>9500000</v>
      </c>
      <c r="K772" s="129">
        <f t="shared" si="62"/>
        <v>-1710</v>
      </c>
      <c r="L772" s="129"/>
      <c r="M772" s="129"/>
      <c r="N772" s="129">
        <f t="shared" si="63"/>
        <v>-1710</v>
      </c>
      <c r="O772" s="129"/>
      <c r="P772" s="129"/>
    </row>
    <row r="773" spans="1:16" s="16" customFormat="1" x14ac:dyDescent="0.2">
      <c r="A773" s="1" t="s">
        <v>1385</v>
      </c>
      <c r="B773" s="1" t="s">
        <v>1386</v>
      </c>
      <c r="C773" s="1" t="s">
        <v>1399</v>
      </c>
      <c r="D773" s="142" t="s">
        <v>1288</v>
      </c>
      <c r="E773" s="143" t="s">
        <v>1241</v>
      </c>
      <c r="F773" s="144" t="s">
        <v>1242</v>
      </c>
      <c r="G773" s="143" t="s">
        <v>1243</v>
      </c>
      <c r="H773" s="146">
        <v>0.9</v>
      </c>
      <c r="I773" s="146">
        <v>-2.7</v>
      </c>
      <c r="J773" s="129">
        <v>5000</v>
      </c>
      <c r="K773" s="129">
        <f t="shared" si="62"/>
        <v>-13500</v>
      </c>
      <c r="L773" s="129"/>
      <c r="M773" s="129"/>
      <c r="N773" s="129">
        <f t="shared" si="63"/>
        <v>-13500</v>
      </c>
      <c r="O773" s="129"/>
      <c r="P773" s="129"/>
    </row>
    <row r="774" spans="1:16" s="16" customFormat="1" x14ac:dyDescent="0.2">
      <c r="A774" s="1" t="s">
        <v>1385</v>
      </c>
      <c r="B774" s="1" t="s">
        <v>1386</v>
      </c>
      <c r="C774" s="1" t="s">
        <v>1399</v>
      </c>
      <c r="D774" s="142" t="s">
        <v>1289</v>
      </c>
      <c r="E774" s="143" t="s">
        <v>1245</v>
      </c>
      <c r="F774" s="144" t="s">
        <v>1246</v>
      </c>
      <c r="G774" s="143" t="s">
        <v>250</v>
      </c>
      <c r="H774" s="146">
        <v>4.4999999999999997E-3</v>
      </c>
      <c r="I774" s="146">
        <v>-1.35E-2</v>
      </c>
      <c r="J774" s="129">
        <v>5000</v>
      </c>
      <c r="K774" s="129">
        <f t="shared" si="62"/>
        <v>-67.5</v>
      </c>
      <c r="L774" s="129"/>
      <c r="M774" s="129"/>
      <c r="N774" s="129">
        <f t="shared" si="63"/>
        <v>-67.5</v>
      </c>
      <c r="O774" s="129"/>
      <c r="P774" s="129"/>
    </row>
    <row r="775" spans="1:16" s="16" customFormat="1" x14ac:dyDescent="0.2">
      <c r="A775" s="1" t="s">
        <v>1385</v>
      </c>
      <c r="B775" s="1" t="s">
        <v>1386</v>
      </c>
      <c r="C775" s="1" t="s">
        <v>1399</v>
      </c>
      <c r="D775" s="142" t="s">
        <v>1290</v>
      </c>
      <c r="E775" s="143" t="s">
        <v>1248</v>
      </c>
      <c r="F775" s="144" t="s">
        <v>1249</v>
      </c>
      <c r="G775" s="143" t="s">
        <v>107</v>
      </c>
      <c r="H775" s="146">
        <v>2.1000000000000001E-4</v>
      </c>
      <c r="I775" s="146">
        <v>-6.3000000000000003E-4</v>
      </c>
      <c r="J775" s="129">
        <v>16072000</v>
      </c>
      <c r="K775" s="129">
        <f t="shared" si="62"/>
        <v>-10125.36</v>
      </c>
      <c r="L775" s="129"/>
      <c r="M775" s="129"/>
      <c r="N775" s="129">
        <f t="shared" si="63"/>
        <v>-10125.36</v>
      </c>
      <c r="O775" s="129"/>
      <c r="P775" s="129"/>
    </row>
    <row r="776" spans="1:16" s="16" customFormat="1" x14ac:dyDescent="0.2">
      <c r="A776" s="1" t="s">
        <v>1385</v>
      </c>
      <c r="B776" s="1" t="s">
        <v>1386</v>
      </c>
      <c r="C776" s="1" t="s">
        <v>1399</v>
      </c>
      <c r="D776" s="142" t="s">
        <v>1291</v>
      </c>
      <c r="E776" s="143" t="s">
        <v>820</v>
      </c>
      <c r="F776" s="144" t="s">
        <v>821</v>
      </c>
      <c r="G776" s="143" t="s">
        <v>107</v>
      </c>
      <c r="H776" s="146">
        <v>4.1999999999999997E-3</v>
      </c>
      <c r="I776" s="146">
        <v>-1.26E-2</v>
      </c>
      <c r="J776" s="129">
        <v>11250000</v>
      </c>
      <c r="K776" s="129">
        <f t="shared" si="62"/>
        <v>-141750</v>
      </c>
      <c r="L776" s="129"/>
      <c r="M776" s="129"/>
      <c r="N776" s="129">
        <f t="shared" si="63"/>
        <v>-141750</v>
      </c>
      <c r="O776" s="129"/>
      <c r="P776" s="129"/>
    </row>
    <row r="777" spans="1:16" s="16" customFormat="1" x14ac:dyDescent="0.2">
      <c r="A777" s="1" t="s">
        <v>1385</v>
      </c>
      <c r="B777" s="1" t="s">
        <v>1386</v>
      </c>
      <c r="C777" s="1" t="s">
        <v>1399</v>
      </c>
      <c r="D777" s="142" t="s">
        <v>1292</v>
      </c>
      <c r="E777" s="143" t="s">
        <v>1254</v>
      </c>
      <c r="F777" s="144" t="s">
        <v>1255</v>
      </c>
      <c r="G777" s="143" t="s">
        <v>107</v>
      </c>
      <c r="H777" s="146">
        <v>3.0000000000000001E-3</v>
      </c>
      <c r="I777" s="146">
        <v>-8.9999999999999993E-3</v>
      </c>
      <c r="J777" s="129">
        <v>8714745</v>
      </c>
      <c r="K777" s="129">
        <f t="shared" si="62"/>
        <v>-78432.704999999987</v>
      </c>
      <c r="L777" s="129"/>
      <c r="M777" s="129"/>
      <c r="N777" s="129">
        <f t="shared" si="63"/>
        <v>-78432.704999999987</v>
      </c>
      <c r="O777" s="129"/>
      <c r="P777" s="129"/>
    </row>
    <row r="778" spans="1:16" s="16" customFormat="1" x14ac:dyDescent="0.2">
      <c r="A778" s="1" t="s">
        <v>1385</v>
      </c>
      <c r="B778" s="1" t="s">
        <v>1386</v>
      </c>
      <c r="C778" s="1" t="s">
        <v>1399</v>
      </c>
      <c r="D778" s="142" t="s">
        <v>1293</v>
      </c>
      <c r="E778" s="143" t="s">
        <v>1257</v>
      </c>
      <c r="F778" s="144" t="s">
        <v>1258</v>
      </c>
      <c r="G778" s="143" t="s">
        <v>250</v>
      </c>
      <c r="H778" s="146">
        <v>0.03</v>
      </c>
      <c r="I778" s="146">
        <v>-0.09</v>
      </c>
      <c r="J778" s="129">
        <v>5000</v>
      </c>
      <c r="K778" s="129">
        <f t="shared" si="62"/>
        <v>-450</v>
      </c>
      <c r="L778" s="129"/>
      <c r="M778" s="129"/>
      <c r="N778" s="129">
        <f t="shared" si="63"/>
        <v>-450</v>
      </c>
      <c r="O778" s="129"/>
      <c r="P778" s="129"/>
    </row>
    <row r="779" spans="1:16" s="16" customFormat="1" x14ac:dyDescent="0.2">
      <c r="A779" s="1" t="s">
        <v>1385</v>
      </c>
      <c r="B779" s="1" t="s">
        <v>1386</v>
      </c>
      <c r="C779" s="1" t="s">
        <v>1399</v>
      </c>
      <c r="D779" s="142" t="s">
        <v>1294</v>
      </c>
      <c r="E779" s="143" t="s">
        <v>1260</v>
      </c>
      <c r="F779" s="144" t="s">
        <v>1261</v>
      </c>
      <c r="G779" s="143" t="s">
        <v>42</v>
      </c>
      <c r="H779" s="145">
        <v>45</v>
      </c>
      <c r="I779" s="145">
        <v>-135</v>
      </c>
      <c r="J779" s="129">
        <v>1250</v>
      </c>
      <c r="K779" s="129">
        <f t="shared" si="62"/>
        <v>-168750</v>
      </c>
      <c r="L779" s="129"/>
      <c r="M779" s="129"/>
      <c r="N779" s="129">
        <f t="shared" si="63"/>
        <v>-168750</v>
      </c>
      <c r="O779" s="129"/>
      <c r="P779" s="129"/>
    </row>
    <row r="780" spans="1:16" s="16" customFormat="1" x14ac:dyDescent="0.2">
      <c r="A780" s="1" t="s">
        <v>1385</v>
      </c>
      <c r="B780" s="1" t="s">
        <v>1386</v>
      </c>
      <c r="C780" s="1" t="s">
        <v>1399</v>
      </c>
      <c r="D780" s="142" t="s">
        <v>1295</v>
      </c>
      <c r="E780" s="143" t="s">
        <v>1263</v>
      </c>
      <c r="F780" s="144" t="s">
        <v>1264</v>
      </c>
      <c r="G780" s="143" t="s">
        <v>69</v>
      </c>
      <c r="H780" s="145">
        <v>9</v>
      </c>
      <c r="I780" s="145">
        <v>-27</v>
      </c>
      <c r="J780" s="129">
        <v>11696</v>
      </c>
      <c r="K780" s="129">
        <f t="shared" si="62"/>
        <v>-315792</v>
      </c>
      <c r="L780" s="129"/>
      <c r="M780" s="129"/>
      <c r="N780" s="129">
        <f t="shared" si="63"/>
        <v>-315792</v>
      </c>
      <c r="O780" s="129"/>
      <c r="P780" s="129"/>
    </row>
    <row r="781" spans="1:16" s="16" customFormat="1" x14ac:dyDescent="0.2">
      <c r="A781" s="1" t="s">
        <v>1385</v>
      </c>
      <c r="B781" s="1" t="s">
        <v>1386</v>
      </c>
      <c r="C781" s="1" t="s">
        <v>1399</v>
      </c>
      <c r="D781" s="142" t="s">
        <v>1296</v>
      </c>
      <c r="E781" s="143" t="s">
        <v>1266</v>
      </c>
      <c r="F781" s="144" t="s">
        <v>1267</v>
      </c>
      <c r="G781" s="143" t="s">
        <v>250</v>
      </c>
      <c r="H781" s="146">
        <v>0.03</v>
      </c>
      <c r="I781" s="146">
        <v>-0.09</v>
      </c>
      <c r="J781" s="129">
        <v>4500</v>
      </c>
      <c r="K781" s="129">
        <f t="shared" si="62"/>
        <v>-405</v>
      </c>
      <c r="L781" s="129"/>
      <c r="M781" s="129"/>
      <c r="N781" s="129">
        <f t="shared" si="63"/>
        <v>-405</v>
      </c>
      <c r="O781" s="129"/>
      <c r="P781" s="129"/>
    </row>
    <row r="782" spans="1:16" s="16" customFormat="1" x14ac:dyDescent="0.2">
      <c r="A782" s="1" t="s">
        <v>1385</v>
      </c>
      <c r="B782" s="1" t="s">
        <v>1386</v>
      </c>
      <c r="C782" s="1" t="s">
        <v>1399</v>
      </c>
      <c r="D782" s="142" t="s">
        <v>1297</v>
      </c>
      <c r="E782" s="143" t="s">
        <v>1269</v>
      </c>
      <c r="F782" s="144" t="s">
        <v>1270</v>
      </c>
      <c r="G782" s="143" t="s">
        <v>250</v>
      </c>
      <c r="H782" s="146">
        <v>0.03</v>
      </c>
      <c r="I782" s="146">
        <v>-0.09</v>
      </c>
      <c r="J782" s="129">
        <v>4500</v>
      </c>
      <c r="K782" s="129">
        <f t="shared" si="62"/>
        <v>-405</v>
      </c>
      <c r="L782" s="129"/>
      <c r="M782" s="129"/>
      <c r="N782" s="129">
        <f t="shared" si="63"/>
        <v>-405</v>
      </c>
      <c r="O782" s="129"/>
      <c r="P782" s="129"/>
    </row>
    <row r="783" spans="1:16" s="16" customFormat="1" ht="36" x14ac:dyDescent="0.2">
      <c r="A783" s="1" t="s">
        <v>1385</v>
      </c>
      <c r="B783" s="1" t="s">
        <v>1386</v>
      </c>
      <c r="C783" s="1" t="s">
        <v>1399</v>
      </c>
      <c r="D783" s="142" t="s">
        <v>1298</v>
      </c>
      <c r="E783" s="143" t="s">
        <v>1272</v>
      </c>
      <c r="F783" s="144" t="s">
        <v>1273</v>
      </c>
      <c r="G783" s="143" t="s">
        <v>250</v>
      </c>
      <c r="H783" s="146">
        <v>0.03</v>
      </c>
      <c r="I783" s="146">
        <v>-0.09</v>
      </c>
      <c r="J783" s="129">
        <v>15000</v>
      </c>
      <c r="K783" s="129">
        <f t="shared" si="62"/>
        <v>-1350</v>
      </c>
      <c r="L783" s="129"/>
      <c r="M783" s="129"/>
      <c r="N783" s="129">
        <f t="shared" si="63"/>
        <v>-1350</v>
      </c>
      <c r="O783" s="129"/>
      <c r="P783" s="129"/>
    </row>
    <row r="784" spans="1:16" s="1" customFormat="1" ht="38.25" x14ac:dyDescent="0.2">
      <c r="A784" s="1" t="s">
        <v>1385</v>
      </c>
      <c r="B784" s="1" t="s">
        <v>1386</v>
      </c>
      <c r="C784" s="1" t="s">
        <v>1397</v>
      </c>
      <c r="D784" s="130" t="s">
        <v>1299</v>
      </c>
      <c r="E784" s="131" t="s">
        <v>1300</v>
      </c>
      <c r="F784" s="131" t="s">
        <v>1301</v>
      </c>
      <c r="G784" s="132" t="s">
        <v>69</v>
      </c>
      <c r="H784" s="133">
        <v>-19.2</v>
      </c>
      <c r="I784" s="133"/>
      <c r="J784" s="129"/>
      <c r="K784" s="129"/>
      <c r="L784" s="129"/>
      <c r="M784" s="129"/>
      <c r="N784" s="129"/>
      <c r="O784" s="129"/>
      <c r="P784" s="129"/>
    </row>
    <row r="785" spans="1:16" s="14" customFormat="1" x14ac:dyDescent="0.2">
      <c r="A785" s="1" t="s">
        <v>1385</v>
      </c>
      <c r="B785" s="1" t="s">
        <v>1386</v>
      </c>
      <c r="C785" s="1" t="s">
        <v>24</v>
      </c>
      <c r="D785" s="134" t="s">
        <v>1302</v>
      </c>
      <c r="E785" s="135" t="s">
        <v>18</v>
      </c>
      <c r="F785" s="136" t="s">
        <v>23</v>
      </c>
      <c r="G785" s="135" t="s">
        <v>24</v>
      </c>
      <c r="H785" s="137">
        <v>13.3</v>
      </c>
      <c r="I785" s="137">
        <v>-255.36</v>
      </c>
      <c r="J785" s="129">
        <v>22914.53</v>
      </c>
      <c r="K785" s="129">
        <f>+J785*I785</f>
        <v>-5851454.3808000004</v>
      </c>
      <c r="L785" s="129">
        <f>+I785*J785</f>
        <v>-5851454.3808000004</v>
      </c>
      <c r="M785" s="129"/>
      <c r="N785" s="129"/>
      <c r="O785" s="129"/>
      <c r="P785" s="129"/>
    </row>
    <row r="786" spans="1:16" s="1" customFormat="1" ht="25.5" x14ac:dyDescent="0.2">
      <c r="A786" s="1" t="s">
        <v>1385</v>
      </c>
      <c r="B786" s="1" t="s">
        <v>1386</v>
      </c>
      <c r="C786" s="1" t="s">
        <v>1399</v>
      </c>
      <c r="D786" s="130" t="s">
        <v>1303</v>
      </c>
      <c r="E786" s="131" t="s">
        <v>1304</v>
      </c>
      <c r="F786" s="131" t="s">
        <v>1305</v>
      </c>
      <c r="G786" s="132" t="s">
        <v>42</v>
      </c>
      <c r="H786" s="148">
        <v>1</v>
      </c>
      <c r="I786" s="148">
        <v>1</v>
      </c>
      <c r="J786" s="129">
        <v>247429000</v>
      </c>
      <c r="K786" s="129">
        <f t="shared" ref="K786" si="64">+J786*I786</f>
        <v>247429000</v>
      </c>
      <c r="L786" s="129"/>
      <c r="M786" s="129"/>
      <c r="N786" s="129"/>
      <c r="O786" s="129"/>
      <c r="P786" s="129">
        <f>+J786*I786</f>
        <v>247429000</v>
      </c>
    </row>
    <row r="787" spans="1:16" s="1" customFormat="1" x14ac:dyDescent="0.2">
      <c r="A787" s="1" t="s">
        <v>1385</v>
      </c>
      <c r="B787" s="1" t="s">
        <v>1386</v>
      </c>
      <c r="C787" s="1" t="s">
        <v>1398</v>
      </c>
      <c r="D787" s="150"/>
      <c r="E787" s="99"/>
      <c r="F787" s="100" t="s">
        <v>1387</v>
      </c>
      <c r="G787" s="101" t="s">
        <v>1368</v>
      </c>
      <c r="H787" s="102"/>
      <c r="I787" s="102"/>
      <c r="J787" s="102"/>
      <c r="K787" s="103">
        <f>L787+M787+N787+O787</f>
        <v>2098489301.642978</v>
      </c>
      <c r="L787" s="104">
        <f>SUM(L20:L786)</f>
        <v>453254298.05818063</v>
      </c>
      <c r="M787" s="104">
        <f t="shared" ref="M787:P787" si="65">SUM(M20:M786)</f>
        <v>41251985.758161999</v>
      </c>
      <c r="N787" s="104">
        <f t="shared" si="65"/>
        <v>1603983017.8266354</v>
      </c>
      <c r="O787" s="104">
        <f t="shared" si="65"/>
        <v>0</v>
      </c>
      <c r="P787" s="104">
        <f t="shared" si="65"/>
        <v>247429000</v>
      </c>
    </row>
    <row r="788" spans="1:16" s="1" customFormat="1" x14ac:dyDescent="0.2">
      <c r="A788" s="1" t="s">
        <v>1385</v>
      </c>
      <c r="B788" s="1" t="s">
        <v>1386</v>
      </c>
      <c r="C788" s="1" t="s">
        <v>1398</v>
      </c>
      <c r="D788" s="150"/>
      <c r="E788" s="99"/>
      <c r="F788" s="100" t="s">
        <v>1388</v>
      </c>
      <c r="G788" s="101" t="s">
        <v>1368</v>
      </c>
      <c r="H788" s="102"/>
      <c r="I788" s="102"/>
      <c r="J788" s="102"/>
      <c r="K788" s="103">
        <f>L787</f>
        <v>453254298.05818063</v>
      </c>
      <c r="L788" s="105">
        <v>453254298.88310367</v>
      </c>
      <c r="M788" s="105">
        <v>41251985.808281995</v>
      </c>
      <c r="N788" s="106">
        <v>1603983015.9266353</v>
      </c>
      <c r="O788" s="105">
        <v>0</v>
      </c>
      <c r="P788" s="105">
        <v>247429000</v>
      </c>
    </row>
    <row r="789" spans="1:16" s="1" customFormat="1" x14ac:dyDescent="0.2">
      <c r="A789" s="1" t="s">
        <v>1385</v>
      </c>
      <c r="B789" s="1" t="s">
        <v>1386</v>
      </c>
      <c r="C789" s="1" t="s">
        <v>1398</v>
      </c>
      <c r="D789" s="150"/>
      <c r="E789" s="99"/>
      <c r="F789" s="100" t="s">
        <v>1389</v>
      </c>
      <c r="G789" s="101" t="s">
        <v>1368</v>
      </c>
      <c r="H789" s="102"/>
      <c r="I789" s="102"/>
      <c r="J789" s="102"/>
      <c r="K789" s="103">
        <f>M787</f>
        <v>41251985.758161999</v>
      </c>
      <c r="L789" s="107">
        <f t="shared" ref="L789:P789" si="66">L787-L788</f>
        <v>-0.82492303848266602</v>
      </c>
      <c r="M789" s="107">
        <f t="shared" si="66"/>
        <v>-5.0119996070861816E-2</v>
      </c>
      <c r="N789" s="107">
        <f t="shared" si="66"/>
        <v>1.9000000953674316</v>
      </c>
      <c r="O789" s="107">
        <f t="shared" si="66"/>
        <v>0</v>
      </c>
      <c r="P789" s="107">
        <f t="shared" si="66"/>
        <v>0</v>
      </c>
    </row>
    <row r="790" spans="1:16" s="1" customFormat="1" x14ac:dyDescent="0.2">
      <c r="A790" s="1" t="s">
        <v>1385</v>
      </c>
      <c r="B790" s="1" t="s">
        <v>1386</v>
      </c>
      <c r="C790" s="1" t="s">
        <v>1398</v>
      </c>
      <c r="D790" s="150"/>
      <c r="E790" s="99"/>
      <c r="F790" s="100" t="s">
        <v>1376</v>
      </c>
      <c r="G790" s="101" t="s">
        <v>1368</v>
      </c>
      <c r="H790" s="102"/>
      <c r="I790" s="102"/>
      <c r="J790" s="102"/>
      <c r="K790" s="103">
        <f>N787</f>
        <v>1603983017.8266354</v>
      </c>
      <c r="L790" s="108"/>
      <c r="M790" s="108"/>
      <c r="N790" s="108"/>
      <c r="O790" s="108"/>
      <c r="P790" s="129"/>
    </row>
    <row r="791" spans="1:16" s="1" customFormat="1" x14ac:dyDescent="0.2">
      <c r="A791" s="1" t="s">
        <v>1385</v>
      </c>
      <c r="B791" s="1" t="s">
        <v>1386</v>
      </c>
      <c r="C791" s="1" t="s">
        <v>1398</v>
      </c>
      <c r="D791" s="150"/>
      <c r="E791" s="99"/>
      <c r="F791" s="100" t="s">
        <v>1390</v>
      </c>
      <c r="G791" s="101" t="s">
        <v>1368</v>
      </c>
      <c r="H791" s="102"/>
      <c r="I791" s="102"/>
      <c r="J791" s="102"/>
      <c r="K791" s="103">
        <f>K790*5%</f>
        <v>80199150.891331777</v>
      </c>
      <c r="L791" s="108"/>
      <c r="M791" s="108"/>
      <c r="N791" s="108"/>
      <c r="O791" s="108"/>
      <c r="P791" s="129"/>
    </row>
    <row r="792" spans="1:16" s="1" customFormat="1" x14ac:dyDescent="0.2">
      <c r="A792" s="1" t="s">
        <v>1385</v>
      </c>
      <c r="B792" s="1" t="s">
        <v>1386</v>
      </c>
      <c r="C792" s="1" t="s">
        <v>1398</v>
      </c>
      <c r="D792" s="150"/>
      <c r="E792" s="99"/>
      <c r="F792" s="100" t="s">
        <v>1391</v>
      </c>
      <c r="G792" s="101" t="s">
        <v>1368</v>
      </c>
      <c r="H792" s="102"/>
      <c r="I792" s="102"/>
      <c r="J792" s="102"/>
      <c r="K792" s="103">
        <f>P787</f>
        <v>247429000</v>
      </c>
      <c r="L792" s="108"/>
      <c r="M792" s="108"/>
      <c r="N792" s="108"/>
      <c r="O792" s="108"/>
      <c r="P792" s="129"/>
    </row>
    <row r="793" spans="1:16" s="1" customFormat="1" x14ac:dyDescent="0.2">
      <c r="A793" s="1" t="s">
        <v>1385</v>
      </c>
      <c r="B793" s="1" t="s">
        <v>1386</v>
      </c>
      <c r="C793" s="1" t="s">
        <v>1398</v>
      </c>
      <c r="D793" s="150"/>
      <c r="E793" s="99"/>
      <c r="F793" s="100" t="s">
        <v>1392</v>
      </c>
      <c r="G793" s="101" t="s">
        <v>1368</v>
      </c>
      <c r="H793" s="102"/>
      <c r="I793" s="102"/>
      <c r="J793" s="102"/>
      <c r="K793" s="103">
        <f>K792*2%</f>
        <v>4948580</v>
      </c>
      <c r="L793" s="108"/>
      <c r="M793" s="108"/>
      <c r="N793" s="108"/>
      <c r="O793" s="108"/>
      <c r="P793" s="129"/>
    </row>
    <row r="794" spans="1:16" s="1" customFormat="1" x14ac:dyDescent="0.2">
      <c r="A794" s="1" t="s">
        <v>1385</v>
      </c>
      <c r="B794" s="1" t="s">
        <v>1386</v>
      </c>
      <c r="C794" s="1" t="s">
        <v>1398</v>
      </c>
      <c r="D794" s="150"/>
      <c r="E794" s="99"/>
      <c r="F794" s="100" t="s">
        <v>1393</v>
      </c>
      <c r="G794" s="101" t="s">
        <v>1368</v>
      </c>
      <c r="H794" s="102"/>
      <c r="I794" s="102"/>
      <c r="J794" s="102"/>
      <c r="K794" s="103">
        <f>+O787</f>
        <v>0</v>
      </c>
      <c r="L794" s="108"/>
      <c r="M794" s="108"/>
      <c r="N794" s="108"/>
      <c r="O794" s="108"/>
      <c r="P794" s="129"/>
    </row>
    <row r="795" spans="1:16" s="1" customFormat="1" x14ac:dyDescent="0.2">
      <c r="A795" s="1" t="s">
        <v>1385</v>
      </c>
      <c r="B795" s="1" t="s">
        <v>1386</v>
      </c>
      <c r="C795" s="1" t="s">
        <v>1398</v>
      </c>
      <c r="D795" s="150"/>
      <c r="E795" s="99"/>
      <c r="F795" s="100" t="s">
        <v>1394</v>
      </c>
      <c r="G795" s="101" t="s">
        <v>1368</v>
      </c>
      <c r="H795" s="102"/>
      <c r="I795" s="102"/>
      <c r="J795" s="102"/>
      <c r="K795" s="103">
        <f>K794*1.5%</f>
        <v>0</v>
      </c>
      <c r="L795" s="108"/>
      <c r="M795" s="108"/>
      <c r="N795" s="108"/>
      <c r="O795" s="108"/>
      <c r="P795" s="129"/>
    </row>
    <row r="796" spans="1:16" s="1" customFormat="1" x14ac:dyDescent="0.2">
      <c r="A796" s="1" t="s">
        <v>1385</v>
      </c>
      <c r="B796" s="1" t="s">
        <v>1386</v>
      </c>
      <c r="C796" s="1" t="s">
        <v>1398</v>
      </c>
      <c r="D796" s="150"/>
      <c r="E796" s="99"/>
      <c r="F796" s="100" t="s">
        <v>1395</v>
      </c>
      <c r="G796" s="101" t="s">
        <v>1368</v>
      </c>
      <c r="H796" s="102"/>
      <c r="I796" s="102"/>
      <c r="J796" s="102"/>
      <c r="K796" s="103">
        <f>SUM(K788:K795)</f>
        <v>2431066032.5343099</v>
      </c>
      <c r="L796" s="108"/>
      <c r="M796" s="108"/>
      <c r="N796" s="108"/>
      <c r="O796" s="108"/>
      <c r="P796" s="129"/>
    </row>
    <row r="797" spans="1:16" s="1" customFormat="1" x14ac:dyDescent="0.2">
      <c r="A797" s="1" t="s">
        <v>1385</v>
      </c>
      <c r="B797" s="1" t="s">
        <v>1386</v>
      </c>
      <c r="C797" s="1" t="s">
        <v>1398</v>
      </c>
      <c r="D797" s="150"/>
      <c r="E797" s="99"/>
      <c r="F797" s="100" t="s">
        <v>1396</v>
      </c>
      <c r="G797" s="101" t="s">
        <v>1368</v>
      </c>
      <c r="H797" s="102"/>
      <c r="I797" s="102"/>
      <c r="J797" s="102"/>
      <c r="K797" s="103">
        <f>(K788+K789+K790+K791+K794+K795)*17.27%</f>
        <v>376259495.75267529</v>
      </c>
      <c r="L797" s="108"/>
      <c r="M797" s="108"/>
      <c r="N797" s="108"/>
      <c r="O797" s="108"/>
      <c r="P797" s="129"/>
    </row>
    <row r="798" spans="1:16" s="1" customFormat="1" x14ac:dyDescent="0.2">
      <c r="A798" s="1" t="s">
        <v>1385</v>
      </c>
      <c r="B798" s="1" t="s">
        <v>1386</v>
      </c>
      <c r="C798" s="1" t="s">
        <v>1398</v>
      </c>
      <c r="D798" s="150"/>
      <c r="E798" s="99"/>
      <c r="F798" s="100" t="s">
        <v>1395</v>
      </c>
      <c r="G798" s="101" t="s">
        <v>1368</v>
      </c>
      <c r="H798" s="102"/>
      <c r="I798" s="102"/>
      <c r="J798" s="102"/>
      <c r="K798" s="103">
        <f>SUM(K796:K797)</f>
        <v>2807325528.2869854</v>
      </c>
      <c r="L798" s="108"/>
      <c r="M798" s="108"/>
      <c r="N798" s="108"/>
      <c r="O798" s="108"/>
      <c r="P798" s="129"/>
    </row>
    <row r="799" spans="1:16" ht="15.75" customHeight="1" x14ac:dyDescent="0.25">
      <c r="A799" t="s">
        <v>1400</v>
      </c>
      <c r="B799" t="s">
        <v>1401</v>
      </c>
      <c r="D799" s="151" t="s">
        <v>16</v>
      </c>
      <c r="E799" s="128"/>
      <c r="F799" s="128"/>
      <c r="G799" s="128"/>
      <c r="H799" s="128"/>
      <c r="I799" s="128"/>
      <c r="J799" s="149"/>
      <c r="K799" s="149"/>
      <c r="L799" s="149"/>
      <c r="M799" s="149"/>
      <c r="N799" s="149"/>
      <c r="O799" s="149"/>
      <c r="P799" s="152"/>
    </row>
    <row r="800" spans="1:16" ht="15.75" customHeight="1" x14ac:dyDescent="0.25">
      <c r="A800" t="s">
        <v>1400</v>
      </c>
      <c r="B800" t="s">
        <v>1401</v>
      </c>
      <c r="D800" s="151" t="s">
        <v>1402</v>
      </c>
      <c r="E800" s="128"/>
      <c r="F800" s="128"/>
      <c r="G800" s="128"/>
      <c r="H800" s="128"/>
      <c r="I800" s="128"/>
      <c r="J800" s="149"/>
      <c r="K800" s="149"/>
      <c r="L800" s="149"/>
      <c r="M800" s="149"/>
      <c r="N800" s="149"/>
      <c r="O800" s="149"/>
      <c r="P800" s="152"/>
    </row>
    <row r="801" spans="1:17" s="1" customFormat="1" ht="51" x14ac:dyDescent="0.2">
      <c r="A801" t="s">
        <v>1400</v>
      </c>
      <c r="B801" t="s">
        <v>1401</v>
      </c>
      <c r="C801" s="12" t="s">
        <v>1397</v>
      </c>
      <c r="D801" s="130" t="s">
        <v>18</v>
      </c>
      <c r="E801" s="131" t="s">
        <v>1403</v>
      </c>
      <c r="F801" s="131" t="s">
        <v>1404</v>
      </c>
      <c r="G801" s="132" t="s">
        <v>1405</v>
      </c>
      <c r="H801" s="133">
        <v>0.12</v>
      </c>
      <c r="I801" s="133"/>
      <c r="J801" s="149"/>
      <c r="K801" s="149"/>
      <c r="L801" s="149"/>
      <c r="M801" s="149"/>
      <c r="N801" s="149"/>
      <c r="O801" s="149"/>
      <c r="P801" s="153"/>
      <c r="Q801" s="35"/>
    </row>
    <row r="802" spans="1:17" s="14" customFormat="1" x14ac:dyDescent="0.2">
      <c r="A802" t="s">
        <v>1400</v>
      </c>
      <c r="B802" t="s">
        <v>1401</v>
      </c>
      <c r="C802" s="14" t="s">
        <v>24</v>
      </c>
      <c r="D802" s="134" t="s">
        <v>22</v>
      </c>
      <c r="E802" s="135" t="s">
        <v>18</v>
      </c>
      <c r="F802" s="136" t="s">
        <v>23</v>
      </c>
      <c r="G802" s="135" t="s">
        <v>24</v>
      </c>
      <c r="H802" s="137">
        <v>76.59</v>
      </c>
      <c r="I802" s="137">
        <v>9.1907999999999994</v>
      </c>
      <c r="J802" s="149">
        <v>22914.53</v>
      </c>
      <c r="K802" s="149">
        <f>+J802*I802</f>
        <v>210602.86232399999</v>
      </c>
      <c r="L802" s="149">
        <f>+J802*I802</f>
        <v>210602.86232399999</v>
      </c>
      <c r="M802" s="149"/>
      <c r="N802" s="149"/>
      <c r="O802" s="149"/>
      <c r="P802" s="154"/>
    </row>
    <row r="803" spans="1:17" s="15" customFormat="1" x14ac:dyDescent="0.2">
      <c r="A803" t="s">
        <v>1400</v>
      </c>
      <c r="B803" t="s">
        <v>1401</v>
      </c>
      <c r="C803" s="15" t="s">
        <v>28</v>
      </c>
      <c r="D803" s="138" t="s">
        <v>25</v>
      </c>
      <c r="E803" s="139" t="s">
        <v>30</v>
      </c>
      <c r="F803" s="140" t="s">
        <v>31</v>
      </c>
      <c r="G803" s="139" t="s">
        <v>28</v>
      </c>
      <c r="H803" s="141">
        <v>1.69</v>
      </c>
      <c r="I803" s="141">
        <v>0.20280000000000001</v>
      </c>
      <c r="J803" s="149">
        <v>106655</v>
      </c>
      <c r="K803" s="149">
        <f t="shared" ref="K803:K807" si="67">+J803*I803</f>
        <v>21629.634000000002</v>
      </c>
      <c r="L803" s="149"/>
      <c r="M803" s="149">
        <f>+J803*I803</f>
        <v>21629.634000000002</v>
      </c>
      <c r="N803" s="149"/>
      <c r="O803" s="149"/>
      <c r="P803" s="155"/>
    </row>
    <row r="804" spans="1:17" s="15" customFormat="1" x14ac:dyDescent="0.2">
      <c r="A804" t="s">
        <v>1400</v>
      </c>
      <c r="B804" t="s">
        <v>1401</v>
      </c>
      <c r="C804" s="15" t="s">
        <v>28</v>
      </c>
      <c r="D804" s="138" t="s">
        <v>29</v>
      </c>
      <c r="E804" s="139" t="s">
        <v>687</v>
      </c>
      <c r="F804" s="140" t="s">
        <v>688</v>
      </c>
      <c r="G804" s="139" t="s">
        <v>28</v>
      </c>
      <c r="H804" s="141">
        <v>5.86</v>
      </c>
      <c r="I804" s="141">
        <v>0.70320000000000005</v>
      </c>
      <c r="J804" s="149">
        <v>1586</v>
      </c>
      <c r="K804" s="149">
        <f t="shared" si="67"/>
        <v>1115.2752</v>
      </c>
      <c r="L804" s="149"/>
      <c r="M804" s="149">
        <f t="shared" ref="M804" si="68">+J804*I804</f>
        <v>1115.2752</v>
      </c>
      <c r="N804" s="149"/>
      <c r="O804" s="149"/>
      <c r="P804" s="155"/>
    </row>
    <row r="805" spans="1:17" s="16" customFormat="1" x14ac:dyDescent="0.2">
      <c r="A805" t="s">
        <v>1400</v>
      </c>
      <c r="B805" t="s">
        <v>1401</v>
      </c>
      <c r="C805" s="16" t="s">
        <v>1399</v>
      </c>
      <c r="D805" s="142" t="s">
        <v>32</v>
      </c>
      <c r="E805" s="143" t="s">
        <v>1406</v>
      </c>
      <c r="F805" s="144" t="s">
        <v>1407</v>
      </c>
      <c r="G805" s="143" t="s">
        <v>107</v>
      </c>
      <c r="H805" s="146">
        <v>1.25E-3</v>
      </c>
      <c r="I805" s="146">
        <v>1.4999999999999999E-4</v>
      </c>
      <c r="J805" s="149">
        <v>9500000</v>
      </c>
      <c r="K805" s="149">
        <f t="shared" si="67"/>
        <v>1424.9999999999998</v>
      </c>
      <c r="L805" s="149"/>
      <c r="M805" s="149"/>
      <c r="N805" s="149">
        <f t="shared" ref="N805:N807" si="69">+J805*I805</f>
        <v>1424.9999999999998</v>
      </c>
      <c r="O805" s="149"/>
      <c r="P805" s="156"/>
    </row>
    <row r="806" spans="1:17" s="16" customFormat="1" x14ac:dyDescent="0.2">
      <c r="A806" t="s">
        <v>1400</v>
      </c>
      <c r="B806" t="s">
        <v>1401</v>
      </c>
      <c r="C806" s="16" t="s">
        <v>1399</v>
      </c>
      <c r="D806" s="142" t="s">
        <v>35</v>
      </c>
      <c r="E806" s="143" t="s">
        <v>1408</v>
      </c>
      <c r="F806" s="144" t="s">
        <v>1409</v>
      </c>
      <c r="G806" s="143" t="s">
        <v>107</v>
      </c>
      <c r="H806" s="146">
        <v>2.2799999999999999E-3</v>
      </c>
      <c r="I806" s="146">
        <v>2.7399999999999999E-4</v>
      </c>
      <c r="J806" s="149">
        <v>1500000</v>
      </c>
      <c r="K806" s="149">
        <f t="shared" si="67"/>
        <v>411</v>
      </c>
      <c r="L806" s="149"/>
      <c r="M806" s="149"/>
      <c r="N806" s="149">
        <f t="shared" si="69"/>
        <v>411</v>
      </c>
      <c r="O806" s="149"/>
      <c r="P806" s="156"/>
    </row>
    <row r="807" spans="1:17" s="16" customFormat="1" x14ac:dyDescent="0.2">
      <c r="A807" t="s">
        <v>1400</v>
      </c>
      <c r="B807" t="s">
        <v>1401</v>
      </c>
      <c r="C807" s="16" t="s">
        <v>1399</v>
      </c>
      <c r="D807" s="142" t="s">
        <v>39</v>
      </c>
      <c r="E807" s="143" t="s">
        <v>690</v>
      </c>
      <c r="F807" s="144" t="s">
        <v>691</v>
      </c>
      <c r="G807" s="143" t="s">
        <v>420</v>
      </c>
      <c r="H807" s="146">
        <v>2.25</v>
      </c>
      <c r="I807" s="146">
        <v>0.27</v>
      </c>
      <c r="J807" s="149">
        <v>4210</v>
      </c>
      <c r="K807" s="149">
        <f t="shared" si="67"/>
        <v>1136.7</v>
      </c>
      <c r="L807" s="149"/>
      <c r="M807" s="149"/>
      <c r="N807" s="149">
        <f t="shared" si="69"/>
        <v>1136.7</v>
      </c>
      <c r="O807" s="149"/>
      <c r="P807" s="156"/>
    </row>
    <row r="808" spans="1:17" s="1" customFormat="1" x14ac:dyDescent="0.2">
      <c r="A808" t="s">
        <v>1400</v>
      </c>
      <c r="B808" t="s">
        <v>1401</v>
      </c>
      <c r="C808" s="16" t="s">
        <v>1399</v>
      </c>
      <c r="D808" s="130" t="s">
        <v>43</v>
      </c>
      <c r="E808" s="131" t="s">
        <v>1410</v>
      </c>
      <c r="F808" s="131" t="s">
        <v>1411</v>
      </c>
      <c r="G808" s="132" t="s">
        <v>69</v>
      </c>
      <c r="H808" s="148">
        <v>12</v>
      </c>
      <c r="I808" s="148">
        <f>+H808</f>
        <v>12</v>
      </c>
      <c r="J808" s="149">
        <v>71166</v>
      </c>
      <c r="K808" s="149">
        <f>+J808*I808</f>
        <v>853992</v>
      </c>
      <c r="L808" s="149"/>
      <c r="M808" s="149"/>
      <c r="N808" s="149">
        <f>+J808*I808</f>
        <v>853992</v>
      </c>
      <c r="O808" s="149"/>
      <c r="P808" s="153"/>
    </row>
    <row r="809" spans="1:17" s="1" customFormat="1" ht="51" x14ac:dyDescent="0.2">
      <c r="A809" t="s">
        <v>1400</v>
      </c>
      <c r="B809" t="s">
        <v>1401</v>
      </c>
      <c r="C809" s="12" t="s">
        <v>1397</v>
      </c>
      <c r="D809" s="130" t="s">
        <v>52</v>
      </c>
      <c r="E809" s="131" t="s">
        <v>1412</v>
      </c>
      <c r="F809" s="131" t="s">
        <v>1413</v>
      </c>
      <c r="G809" s="132" t="s">
        <v>1405</v>
      </c>
      <c r="H809" s="133">
        <v>0.12</v>
      </c>
      <c r="I809" s="133"/>
      <c r="J809" s="149"/>
      <c r="K809" s="149"/>
      <c r="L809" s="149"/>
      <c r="M809" s="149"/>
      <c r="N809" s="149"/>
      <c r="O809" s="149"/>
      <c r="P809" s="153"/>
      <c r="Q809" s="35"/>
    </row>
    <row r="810" spans="1:17" s="14" customFormat="1" x14ac:dyDescent="0.2">
      <c r="A810" t="s">
        <v>1400</v>
      </c>
      <c r="B810" t="s">
        <v>1401</v>
      </c>
      <c r="C810" s="14" t="s">
        <v>24</v>
      </c>
      <c r="D810" s="134" t="s">
        <v>55</v>
      </c>
      <c r="E810" s="135" t="s">
        <v>18</v>
      </c>
      <c r="F810" s="136" t="s">
        <v>23</v>
      </c>
      <c r="G810" s="135" t="s">
        <v>24</v>
      </c>
      <c r="H810" s="137">
        <v>162.4</v>
      </c>
      <c r="I810" s="137">
        <v>19.488</v>
      </c>
      <c r="J810" s="149">
        <v>22914.53</v>
      </c>
      <c r="K810" s="149">
        <f t="shared" ref="K810:K814" si="70">+J810*I810</f>
        <v>446558.36063999997</v>
      </c>
      <c r="L810" s="149">
        <f>+J810*I810</f>
        <v>446558.36063999997</v>
      </c>
      <c r="M810" s="149"/>
      <c r="N810" s="149"/>
      <c r="O810" s="149"/>
      <c r="P810" s="154"/>
    </row>
    <row r="811" spans="1:17" s="15" customFormat="1" x14ac:dyDescent="0.2">
      <c r="A811" t="s">
        <v>1400</v>
      </c>
      <c r="B811" t="s">
        <v>1401</v>
      </c>
      <c r="C811" s="15" t="s">
        <v>28</v>
      </c>
      <c r="D811" s="138" t="s">
        <v>56</v>
      </c>
      <c r="E811" s="139" t="s">
        <v>30</v>
      </c>
      <c r="F811" s="140" t="s">
        <v>31</v>
      </c>
      <c r="G811" s="139" t="s">
        <v>28</v>
      </c>
      <c r="H811" s="141">
        <v>0.39</v>
      </c>
      <c r="I811" s="141">
        <v>4.6800000000000001E-2</v>
      </c>
      <c r="J811" s="149">
        <v>106655</v>
      </c>
      <c r="K811" s="149">
        <f t="shared" si="70"/>
        <v>4991.4539999999997</v>
      </c>
      <c r="L811" s="149"/>
      <c r="M811" s="149">
        <f t="shared" ref="M811:M813" si="71">+J811*I811</f>
        <v>4991.4539999999997</v>
      </c>
      <c r="N811" s="149"/>
      <c r="O811" s="149"/>
      <c r="P811" s="155"/>
    </row>
    <row r="812" spans="1:17" s="15" customFormat="1" x14ac:dyDescent="0.2">
      <c r="A812" t="s">
        <v>1400</v>
      </c>
      <c r="B812" t="s">
        <v>1401</v>
      </c>
      <c r="C812" s="15" t="s">
        <v>28</v>
      </c>
      <c r="D812" s="138" t="s">
        <v>57</v>
      </c>
      <c r="E812" s="139" t="s">
        <v>33</v>
      </c>
      <c r="F812" s="140" t="s">
        <v>34</v>
      </c>
      <c r="G812" s="139" t="s">
        <v>28</v>
      </c>
      <c r="H812" s="141">
        <v>6.31</v>
      </c>
      <c r="I812" s="141">
        <v>0.75719999999999998</v>
      </c>
      <c r="J812" s="149">
        <v>1732</v>
      </c>
      <c r="K812" s="149">
        <f t="shared" si="70"/>
        <v>1311.4703999999999</v>
      </c>
      <c r="L812" s="149"/>
      <c r="M812" s="149">
        <f t="shared" si="71"/>
        <v>1311.4703999999999</v>
      </c>
      <c r="N812" s="149"/>
      <c r="O812" s="149"/>
      <c r="P812" s="155"/>
    </row>
    <row r="813" spans="1:17" s="15" customFormat="1" x14ac:dyDescent="0.2">
      <c r="A813" t="s">
        <v>1400</v>
      </c>
      <c r="B813" t="s">
        <v>1401</v>
      </c>
      <c r="C813" s="15" t="s">
        <v>28</v>
      </c>
      <c r="D813" s="138" t="s">
        <v>58</v>
      </c>
      <c r="E813" s="139" t="s">
        <v>1414</v>
      </c>
      <c r="F813" s="140" t="s">
        <v>1415</v>
      </c>
      <c r="G813" s="139" t="s">
        <v>28</v>
      </c>
      <c r="H813" s="141">
        <v>16.82</v>
      </c>
      <c r="I813" s="141">
        <v>2.0184000000000002</v>
      </c>
      <c r="J813" s="149">
        <v>16041</v>
      </c>
      <c r="K813" s="149">
        <f t="shared" si="70"/>
        <v>32377.154400000003</v>
      </c>
      <c r="L813" s="149"/>
      <c r="M813" s="149">
        <f t="shared" si="71"/>
        <v>32377.154400000003</v>
      </c>
      <c r="N813" s="149"/>
      <c r="O813" s="149"/>
      <c r="P813" s="155"/>
    </row>
    <row r="814" spans="1:17" s="16" customFormat="1" x14ac:dyDescent="0.2">
      <c r="A814" t="s">
        <v>1400</v>
      </c>
      <c r="B814" t="s">
        <v>1401</v>
      </c>
      <c r="C814" s="16" t="s">
        <v>1399</v>
      </c>
      <c r="D814" s="142" t="s">
        <v>59</v>
      </c>
      <c r="E814" s="143" t="s">
        <v>1416</v>
      </c>
      <c r="F814" s="144" t="s">
        <v>1417</v>
      </c>
      <c r="G814" s="143" t="s">
        <v>69</v>
      </c>
      <c r="H814" s="146">
        <v>97.4</v>
      </c>
      <c r="I814" s="146">
        <v>11.688000000000001</v>
      </c>
      <c r="J814" s="149">
        <v>65527</v>
      </c>
      <c r="K814" s="149">
        <f t="shared" si="70"/>
        <v>765879.576</v>
      </c>
      <c r="L814" s="149"/>
      <c r="M814" s="149"/>
      <c r="N814" s="149">
        <f t="shared" ref="N814" si="72">+J814*I814</f>
        <v>765879.576</v>
      </c>
      <c r="O814" s="149"/>
      <c r="P814" s="156"/>
    </row>
    <row r="815" spans="1:17" s="1" customFormat="1" ht="51" x14ac:dyDescent="0.2">
      <c r="A815" t="s">
        <v>1400</v>
      </c>
      <c r="B815" t="s">
        <v>1401</v>
      </c>
      <c r="C815" s="12" t="s">
        <v>1397</v>
      </c>
      <c r="D815" s="130" t="s">
        <v>60</v>
      </c>
      <c r="E815" s="131" t="s">
        <v>1418</v>
      </c>
      <c r="F815" s="131" t="s">
        <v>1419</v>
      </c>
      <c r="G815" s="132" t="s">
        <v>1405</v>
      </c>
      <c r="H815" s="148">
        <v>1</v>
      </c>
      <c r="I815" s="148"/>
      <c r="J815" s="149"/>
      <c r="K815" s="149"/>
      <c r="L815" s="149"/>
      <c r="M815" s="149"/>
      <c r="N815" s="149"/>
      <c r="O815" s="149"/>
      <c r="P815" s="153"/>
      <c r="Q815" s="35"/>
    </row>
    <row r="816" spans="1:17" s="14" customFormat="1" x14ac:dyDescent="0.2">
      <c r="A816" t="s">
        <v>1400</v>
      </c>
      <c r="B816" t="s">
        <v>1401</v>
      </c>
      <c r="C816" s="14" t="s">
        <v>24</v>
      </c>
      <c r="D816" s="134" t="s">
        <v>64</v>
      </c>
      <c r="E816" s="135" t="s">
        <v>18</v>
      </c>
      <c r="F816" s="136" t="s">
        <v>23</v>
      </c>
      <c r="G816" s="135" t="s">
        <v>24</v>
      </c>
      <c r="H816" s="137">
        <v>141.52000000000001</v>
      </c>
      <c r="I816" s="137">
        <v>141.52000000000001</v>
      </c>
      <c r="J816" s="149">
        <v>22914.53</v>
      </c>
      <c r="K816" s="149">
        <f t="shared" ref="K816:K820" si="73">+J816*I816</f>
        <v>3242864.2856000001</v>
      </c>
      <c r="L816" s="149">
        <f>+J816*I816</f>
        <v>3242864.2856000001</v>
      </c>
      <c r="M816" s="149"/>
      <c r="N816" s="149"/>
      <c r="O816" s="149"/>
      <c r="P816" s="154"/>
    </row>
    <row r="817" spans="1:17" s="15" customFormat="1" x14ac:dyDescent="0.2">
      <c r="A817" t="s">
        <v>1400</v>
      </c>
      <c r="B817" t="s">
        <v>1401</v>
      </c>
      <c r="C817" s="15" t="s">
        <v>28</v>
      </c>
      <c r="D817" s="138" t="s">
        <v>65</v>
      </c>
      <c r="E817" s="139" t="s">
        <v>30</v>
      </c>
      <c r="F817" s="140" t="s">
        <v>31</v>
      </c>
      <c r="G817" s="139" t="s">
        <v>28</v>
      </c>
      <c r="H817" s="141">
        <v>0.34</v>
      </c>
      <c r="I817" s="141">
        <v>0.34</v>
      </c>
      <c r="J817" s="149">
        <v>106655</v>
      </c>
      <c r="K817" s="149">
        <f t="shared" si="73"/>
        <v>36262.700000000004</v>
      </c>
      <c r="L817" s="149"/>
      <c r="M817" s="149">
        <f t="shared" ref="M817:M819" si="74">+J817*I817</f>
        <v>36262.700000000004</v>
      </c>
      <c r="N817" s="149"/>
      <c r="O817" s="149"/>
      <c r="P817" s="155"/>
    </row>
    <row r="818" spans="1:17" s="15" customFormat="1" x14ac:dyDescent="0.2">
      <c r="A818" t="s">
        <v>1400</v>
      </c>
      <c r="B818" t="s">
        <v>1401</v>
      </c>
      <c r="C818" s="15" t="s">
        <v>28</v>
      </c>
      <c r="D818" s="138" t="s">
        <v>66</v>
      </c>
      <c r="E818" s="139" t="s">
        <v>33</v>
      </c>
      <c r="F818" s="140" t="s">
        <v>34</v>
      </c>
      <c r="G818" s="139" t="s">
        <v>28</v>
      </c>
      <c r="H818" s="141">
        <v>5.92</v>
      </c>
      <c r="I818" s="141">
        <v>5.92</v>
      </c>
      <c r="J818" s="149">
        <v>1732</v>
      </c>
      <c r="K818" s="149">
        <f t="shared" si="73"/>
        <v>10253.44</v>
      </c>
      <c r="L818" s="149"/>
      <c r="M818" s="149">
        <f t="shared" si="74"/>
        <v>10253.44</v>
      </c>
      <c r="N818" s="149"/>
      <c r="O818" s="149"/>
      <c r="P818" s="155"/>
    </row>
    <row r="819" spans="1:17" s="15" customFormat="1" x14ac:dyDescent="0.2">
      <c r="A819" t="s">
        <v>1400</v>
      </c>
      <c r="B819" t="s">
        <v>1401</v>
      </c>
      <c r="C819" s="15" t="s">
        <v>28</v>
      </c>
      <c r="D819" s="138" t="s">
        <v>1420</v>
      </c>
      <c r="E819" s="139" t="s">
        <v>1414</v>
      </c>
      <c r="F819" s="140" t="s">
        <v>1415</v>
      </c>
      <c r="G819" s="139" t="s">
        <v>28</v>
      </c>
      <c r="H819" s="141">
        <v>13.34</v>
      </c>
      <c r="I819" s="141">
        <v>13.34</v>
      </c>
      <c r="J819" s="149">
        <v>16041</v>
      </c>
      <c r="K819" s="149">
        <f t="shared" si="73"/>
        <v>213986.94</v>
      </c>
      <c r="L819" s="149"/>
      <c r="M819" s="149">
        <f t="shared" si="74"/>
        <v>213986.94</v>
      </c>
      <c r="N819" s="149"/>
      <c r="O819" s="149"/>
      <c r="P819" s="155"/>
    </row>
    <row r="820" spans="1:17" s="16" customFormat="1" x14ac:dyDescent="0.2">
      <c r="A820" t="s">
        <v>1400</v>
      </c>
      <c r="B820" t="s">
        <v>1401</v>
      </c>
      <c r="C820" s="16" t="s">
        <v>1399</v>
      </c>
      <c r="D820" s="142" t="s">
        <v>1421</v>
      </c>
      <c r="E820" s="143" t="s">
        <v>1422</v>
      </c>
      <c r="F820" s="144" t="s">
        <v>1423</v>
      </c>
      <c r="G820" s="143" t="s">
        <v>69</v>
      </c>
      <c r="H820" s="146">
        <v>94.6</v>
      </c>
      <c r="I820" s="146">
        <v>94.6</v>
      </c>
      <c r="J820" s="149">
        <v>46562</v>
      </c>
      <c r="K820" s="149">
        <f t="shared" si="73"/>
        <v>4404765.2</v>
      </c>
      <c r="L820" s="149"/>
      <c r="M820" s="149"/>
      <c r="N820" s="149">
        <f t="shared" ref="N820" si="75">+J820*I820</f>
        <v>4404765.2</v>
      </c>
      <c r="O820" s="149"/>
      <c r="P820" s="156"/>
    </row>
    <row r="821" spans="1:17" s="1" customFormat="1" ht="51" x14ac:dyDescent="0.2">
      <c r="A821" t="s">
        <v>1400</v>
      </c>
      <c r="B821" t="s">
        <v>1401</v>
      </c>
      <c r="C821" s="12" t="s">
        <v>1397</v>
      </c>
      <c r="D821" s="130" t="s">
        <v>70</v>
      </c>
      <c r="E821" s="131" t="s">
        <v>1424</v>
      </c>
      <c r="F821" s="131" t="s">
        <v>1425</v>
      </c>
      <c r="G821" s="132" t="s">
        <v>1405</v>
      </c>
      <c r="H821" s="133">
        <v>0.4</v>
      </c>
      <c r="I821" s="133"/>
      <c r="J821" s="149"/>
      <c r="K821" s="149"/>
      <c r="L821" s="149"/>
      <c r="M821" s="149"/>
      <c r="N821" s="149"/>
      <c r="O821" s="149"/>
      <c r="P821" s="153"/>
      <c r="Q821" s="35"/>
    </row>
    <row r="822" spans="1:17" s="14" customFormat="1" x14ac:dyDescent="0.2">
      <c r="A822" t="s">
        <v>1400</v>
      </c>
      <c r="B822" t="s">
        <v>1401</v>
      </c>
      <c r="C822" s="14" t="s">
        <v>24</v>
      </c>
      <c r="D822" s="134" t="s">
        <v>73</v>
      </c>
      <c r="E822" s="135" t="s">
        <v>18</v>
      </c>
      <c r="F822" s="136" t="s">
        <v>23</v>
      </c>
      <c r="G822" s="135" t="s">
        <v>24</v>
      </c>
      <c r="H822" s="137">
        <v>141.52000000000001</v>
      </c>
      <c r="I822" s="137">
        <v>56.607999999999997</v>
      </c>
      <c r="J822" s="149">
        <v>22914.53</v>
      </c>
      <c r="K822" s="149">
        <f t="shared" ref="K822:K826" si="76">+J822*I822</f>
        <v>1297145.7142399999</v>
      </c>
      <c r="L822" s="149">
        <f>+J822*I822</f>
        <v>1297145.7142399999</v>
      </c>
      <c r="M822" s="149"/>
      <c r="N822" s="149"/>
      <c r="O822" s="149"/>
      <c r="P822" s="154"/>
    </row>
    <row r="823" spans="1:17" s="15" customFormat="1" x14ac:dyDescent="0.2">
      <c r="A823" t="s">
        <v>1400</v>
      </c>
      <c r="B823" t="s">
        <v>1401</v>
      </c>
      <c r="C823" s="15" t="s">
        <v>28</v>
      </c>
      <c r="D823" s="138" t="s">
        <v>74</v>
      </c>
      <c r="E823" s="139" t="s">
        <v>30</v>
      </c>
      <c r="F823" s="140" t="s">
        <v>31</v>
      </c>
      <c r="G823" s="139" t="s">
        <v>28</v>
      </c>
      <c r="H823" s="141">
        <v>0.34</v>
      </c>
      <c r="I823" s="141">
        <v>0.13600000000000001</v>
      </c>
      <c r="J823" s="149">
        <v>106655</v>
      </c>
      <c r="K823" s="149">
        <f t="shared" si="76"/>
        <v>14505.080000000002</v>
      </c>
      <c r="L823" s="149"/>
      <c r="M823" s="149">
        <f t="shared" ref="M823:M825" si="77">+J823*I823</f>
        <v>14505.080000000002</v>
      </c>
      <c r="N823" s="149"/>
      <c r="O823" s="149"/>
      <c r="P823" s="155"/>
    </row>
    <row r="824" spans="1:17" s="15" customFormat="1" x14ac:dyDescent="0.2">
      <c r="A824" t="s">
        <v>1400</v>
      </c>
      <c r="B824" t="s">
        <v>1401</v>
      </c>
      <c r="C824" s="15" t="s">
        <v>28</v>
      </c>
      <c r="D824" s="138" t="s">
        <v>75</v>
      </c>
      <c r="E824" s="139" t="s">
        <v>33</v>
      </c>
      <c r="F824" s="140" t="s">
        <v>34</v>
      </c>
      <c r="G824" s="139" t="s">
        <v>28</v>
      </c>
      <c r="H824" s="141">
        <v>5.56</v>
      </c>
      <c r="I824" s="141">
        <v>2.2240000000000002</v>
      </c>
      <c r="J824" s="149">
        <v>1732</v>
      </c>
      <c r="K824" s="149">
        <f t="shared" si="76"/>
        <v>3851.9680000000003</v>
      </c>
      <c r="L824" s="149"/>
      <c r="M824" s="149">
        <f t="shared" si="77"/>
        <v>3851.9680000000003</v>
      </c>
      <c r="N824" s="149"/>
      <c r="O824" s="149"/>
      <c r="P824" s="155"/>
    </row>
    <row r="825" spans="1:17" s="15" customFormat="1" x14ac:dyDescent="0.2">
      <c r="A825" t="s">
        <v>1400</v>
      </c>
      <c r="B825" t="s">
        <v>1401</v>
      </c>
      <c r="C825" s="15" t="s">
        <v>28</v>
      </c>
      <c r="D825" s="138" t="s">
        <v>76</v>
      </c>
      <c r="E825" s="139" t="s">
        <v>1414</v>
      </c>
      <c r="F825" s="140" t="s">
        <v>1415</v>
      </c>
      <c r="G825" s="139" t="s">
        <v>28</v>
      </c>
      <c r="H825" s="141">
        <v>13.34</v>
      </c>
      <c r="I825" s="141">
        <v>5.3360000000000003</v>
      </c>
      <c r="J825" s="149">
        <v>16041</v>
      </c>
      <c r="K825" s="149">
        <f t="shared" si="76"/>
        <v>85594.775999999998</v>
      </c>
      <c r="L825" s="149"/>
      <c r="M825" s="149">
        <f t="shared" si="77"/>
        <v>85594.775999999998</v>
      </c>
      <c r="N825" s="149"/>
      <c r="O825" s="149"/>
      <c r="P825" s="155"/>
    </row>
    <row r="826" spans="1:17" s="16" customFormat="1" x14ac:dyDescent="0.2">
      <c r="A826" t="s">
        <v>1400</v>
      </c>
      <c r="B826" t="s">
        <v>1401</v>
      </c>
      <c r="C826" s="16" t="s">
        <v>1399</v>
      </c>
      <c r="D826" s="142" t="s">
        <v>77</v>
      </c>
      <c r="E826" s="143" t="s">
        <v>1426</v>
      </c>
      <c r="F826" s="144" t="s">
        <v>1427</v>
      </c>
      <c r="G826" s="143" t="s">
        <v>69</v>
      </c>
      <c r="H826" s="146">
        <v>94.6</v>
      </c>
      <c r="I826" s="146">
        <v>37.840000000000003</v>
      </c>
      <c r="J826" s="149">
        <v>29125</v>
      </c>
      <c r="K826" s="149">
        <f t="shared" si="76"/>
        <v>1102090</v>
      </c>
      <c r="L826" s="149"/>
      <c r="M826" s="149"/>
      <c r="N826" s="149">
        <f t="shared" ref="N826" si="78">+J826*I826</f>
        <v>1102090</v>
      </c>
      <c r="O826" s="149"/>
      <c r="P826" s="156"/>
    </row>
    <row r="827" spans="1:17" s="1" customFormat="1" ht="51" x14ac:dyDescent="0.2">
      <c r="A827" t="s">
        <v>1400</v>
      </c>
      <c r="B827" t="s">
        <v>1401</v>
      </c>
      <c r="C827" s="12" t="s">
        <v>1397</v>
      </c>
      <c r="D827" s="130" t="s">
        <v>80</v>
      </c>
      <c r="E827" s="131" t="s">
        <v>1428</v>
      </c>
      <c r="F827" s="131" t="s">
        <v>1429</v>
      </c>
      <c r="G827" s="132" t="s">
        <v>1405</v>
      </c>
      <c r="H827" s="133">
        <v>0.4</v>
      </c>
      <c r="I827" s="133"/>
      <c r="J827" s="149"/>
      <c r="K827" s="149"/>
      <c r="L827" s="149"/>
      <c r="M827" s="149"/>
      <c r="N827" s="149"/>
      <c r="O827" s="149"/>
      <c r="P827" s="153"/>
      <c r="Q827" s="35"/>
    </row>
    <row r="828" spans="1:17" s="14" customFormat="1" x14ac:dyDescent="0.2">
      <c r="A828" t="s">
        <v>1400</v>
      </c>
      <c r="B828" t="s">
        <v>1401</v>
      </c>
      <c r="C828" s="14" t="s">
        <v>24</v>
      </c>
      <c r="D828" s="134" t="s">
        <v>83</v>
      </c>
      <c r="E828" s="135" t="s">
        <v>18</v>
      </c>
      <c r="F828" s="136" t="s">
        <v>23</v>
      </c>
      <c r="G828" s="135" t="s">
        <v>24</v>
      </c>
      <c r="H828" s="137">
        <v>162.4</v>
      </c>
      <c r="I828" s="137">
        <v>64.959999999999994</v>
      </c>
      <c r="J828" s="149">
        <v>22914.53</v>
      </c>
      <c r="K828" s="149">
        <f t="shared" ref="K828:K832" si="79">+J828*I828</f>
        <v>1488527.8687999998</v>
      </c>
      <c r="L828" s="149">
        <f>+J828*I828</f>
        <v>1488527.8687999998</v>
      </c>
      <c r="M828" s="149"/>
      <c r="N828" s="149"/>
      <c r="O828" s="149"/>
      <c r="P828" s="154"/>
    </row>
    <row r="829" spans="1:17" s="15" customFormat="1" x14ac:dyDescent="0.2">
      <c r="A829" t="s">
        <v>1400</v>
      </c>
      <c r="B829" t="s">
        <v>1401</v>
      </c>
      <c r="C829" s="15" t="s">
        <v>28</v>
      </c>
      <c r="D829" s="138" t="s">
        <v>84</v>
      </c>
      <c r="E829" s="139" t="s">
        <v>30</v>
      </c>
      <c r="F829" s="140" t="s">
        <v>31</v>
      </c>
      <c r="G829" s="139" t="s">
        <v>28</v>
      </c>
      <c r="H829" s="141">
        <v>0.31</v>
      </c>
      <c r="I829" s="141">
        <v>0.124</v>
      </c>
      <c r="J829" s="149">
        <v>106655</v>
      </c>
      <c r="K829" s="149">
        <f t="shared" si="79"/>
        <v>13225.22</v>
      </c>
      <c r="L829" s="149"/>
      <c r="M829" s="149">
        <f t="shared" ref="M829:M831" si="80">+J829*I829</f>
        <v>13225.22</v>
      </c>
      <c r="N829" s="149"/>
      <c r="O829" s="149"/>
      <c r="P829" s="155"/>
    </row>
    <row r="830" spans="1:17" s="15" customFormat="1" x14ac:dyDescent="0.2">
      <c r="A830" t="s">
        <v>1400</v>
      </c>
      <c r="B830" t="s">
        <v>1401</v>
      </c>
      <c r="C830" s="15" t="s">
        <v>28</v>
      </c>
      <c r="D830" s="138" t="s">
        <v>85</v>
      </c>
      <c r="E830" s="139" t="s">
        <v>33</v>
      </c>
      <c r="F830" s="140" t="s">
        <v>34</v>
      </c>
      <c r="G830" s="139" t="s">
        <v>28</v>
      </c>
      <c r="H830" s="141">
        <v>5.22</v>
      </c>
      <c r="I830" s="141">
        <v>2.0880000000000001</v>
      </c>
      <c r="J830" s="149">
        <v>1732</v>
      </c>
      <c r="K830" s="149">
        <f t="shared" si="79"/>
        <v>3616.4160000000002</v>
      </c>
      <c r="L830" s="149"/>
      <c r="M830" s="149">
        <f t="shared" si="80"/>
        <v>3616.4160000000002</v>
      </c>
      <c r="N830" s="149"/>
      <c r="O830" s="149"/>
      <c r="P830" s="155"/>
    </row>
    <row r="831" spans="1:17" s="15" customFormat="1" x14ac:dyDescent="0.2">
      <c r="A831" t="s">
        <v>1400</v>
      </c>
      <c r="B831" t="s">
        <v>1401</v>
      </c>
      <c r="C831" s="15" t="s">
        <v>28</v>
      </c>
      <c r="D831" s="138" t="s">
        <v>86</v>
      </c>
      <c r="E831" s="139" t="s">
        <v>1414</v>
      </c>
      <c r="F831" s="140" t="s">
        <v>1415</v>
      </c>
      <c r="G831" s="139" t="s">
        <v>28</v>
      </c>
      <c r="H831" s="141">
        <v>5.8</v>
      </c>
      <c r="I831" s="141">
        <v>2.3199999999999998</v>
      </c>
      <c r="J831" s="149">
        <v>16041</v>
      </c>
      <c r="K831" s="149">
        <f t="shared" si="79"/>
        <v>37215.119999999995</v>
      </c>
      <c r="L831" s="149"/>
      <c r="M831" s="149">
        <f t="shared" si="80"/>
        <v>37215.119999999995</v>
      </c>
      <c r="N831" s="149"/>
      <c r="O831" s="149"/>
      <c r="P831" s="155"/>
    </row>
    <row r="832" spans="1:17" s="16" customFormat="1" x14ac:dyDescent="0.2">
      <c r="A832" t="s">
        <v>1400</v>
      </c>
      <c r="B832" t="s">
        <v>1401</v>
      </c>
      <c r="C832" s="16" t="s">
        <v>1399</v>
      </c>
      <c r="D832" s="142" t="s">
        <v>89</v>
      </c>
      <c r="E832" s="143" t="s">
        <v>1430</v>
      </c>
      <c r="F832" s="144" t="s">
        <v>1431</v>
      </c>
      <c r="G832" s="143" t="s">
        <v>69</v>
      </c>
      <c r="H832" s="146">
        <v>93.7</v>
      </c>
      <c r="I832" s="146">
        <v>37.479999999999997</v>
      </c>
      <c r="J832" s="149">
        <v>18571</v>
      </c>
      <c r="K832" s="149">
        <f t="shared" si="79"/>
        <v>696041.08</v>
      </c>
      <c r="L832" s="149"/>
      <c r="M832" s="149"/>
      <c r="N832" s="149">
        <f t="shared" ref="N832" si="81">+J832*I832</f>
        <v>696041.08</v>
      </c>
      <c r="O832" s="149"/>
      <c r="P832" s="156"/>
    </row>
    <row r="833" spans="1:17" s="1" customFormat="1" ht="51" x14ac:dyDescent="0.2">
      <c r="A833" t="s">
        <v>1400</v>
      </c>
      <c r="B833" t="s">
        <v>1401</v>
      </c>
      <c r="C833" s="12" t="s">
        <v>1397</v>
      </c>
      <c r="D833" s="130" t="s">
        <v>90</v>
      </c>
      <c r="E833" s="131" t="s">
        <v>1432</v>
      </c>
      <c r="F833" s="131" t="s">
        <v>1433</v>
      </c>
      <c r="G833" s="132" t="s">
        <v>1405</v>
      </c>
      <c r="H833" s="133">
        <v>1.3</v>
      </c>
      <c r="I833" s="133"/>
      <c r="J833" s="149"/>
      <c r="K833" s="149"/>
      <c r="L833" s="149"/>
      <c r="M833" s="149"/>
      <c r="N833" s="149"/>
      <c r="O833" s="149"/>
      <c r="P833" s="153"/>
      <c r="Q833" s="35"/>
    </row>
    <row r="834" spans="1:17" s="14" customFormat="1" x14ac:dyDescent="0.2">
      <c r="A834" t="s">
        <v>1400</v>
      </c>
      <c r="B834" t="s">
        <v>1401</v>
      </c>
      <c r="C834" s="14" t="s">
        <v>24</v>
      </c>
      <c r="D834" s="134" t="s">
        <v>93</v>
      </c>
      <c r="E834" s="135" t="s">
        <v>18</v>
      </c>
      <c r="F834" s="136" t="s">
        <v>23</v>
      </c>
      <c r="G834" s="135" t="s">
        <v>24</v>
      </c>
      <c r="H834" s="137">
        <v>149.63999999999999</v>
      </c>
      <c r="I834" s="137">
        <v>194.53200000000001</v>
      </c>
      <c r="J834" s="149">
        <v>22914.53</v>
      </c>
      <c r="K834" s="149">
        <f t="shared" ref="K834:K838" si="82">+J834*I834</f>
        <v>4457609.3499600003</v>
      </c>
      <c r="L834" s="149">
        <f>+J834*I834</f>
        <v>4457609.3499600003</v>
      </c>
      <c r="M834" s="149"/>
      <c r="N834" s="149"/>
      <c r="O834" s="149"/>
      <c r="P834" s="154"/>
    </row>
    <row r="835" spans="1:17" s="15" customFormat="1" x14ac:dyDescent="0.2">
      <c r="A835" t="s">
        <v>1400</v>
      </c>
      <c r="B835" t="s">
        <v>1401</v>
      </c>
      <c r="C835" s="15" t="s">
        <v>28</v>
      </c>
      <c r="D835" s="138" t="s">
        <v>94</v>
      </c>
      <c r="E835" s="139" t="s">
        <v>30</v>
      </c>
      <c r="F835" s="140" t="s">
        <v>31</v>
      </c>
      <c r="G835" s="139" t="s">
        <v>28</v>
      </c>
      <c r="H835" s="141">
        <v>0.22</v>
      </c>
      <c r="I835" s="141">
        <v>0.28599999999999998</v>
      </c>
      <c r="J835" s="149">
        <v>106655</v>
      </c>
      <c r="K835" s="149">
        <f t="shared" si="82"/>
        <v>30503.329999999998</v>
      </c>
      <c r="L835" s="149"/>
      <c r="M835" s="149">
        <f t="shared" ref="M835:M837" si="83">+J835*I835</f>
        <v>30503.329999999998</v>
      </c>
      <c r="N835" s="149"/>
      <c r="O835" s="149"/>
      <c r="P835" s="155"/>
    </row>
    <row r="836" spans="1:17" s="15" customFormat="1" x14ac:dyDescent="0.2">
      <c r="A836" t="s">
        <v>1400</v>
      </c>
      <c r="B836" t="s">
        <v>1401</v>
      </c>
      <c r="C836" s="15" t="s">
        <v>28</v>
      </c>
      <c r="D836" s="138" t="s">
        <v>97</v>
      </c>
      <c r="E836" s="139" t="s">
        <v>33</v>
      </c>
      <c r="F836" s="140" t="s">
        <v>34</v>
      </c>
      <c r="G836" s="139" t="s">
        <v>28</v>
      </c>
      <c r="H836" s="141">
        <v>4.5599999999999996</v>
      </c>
      <c r="I836" s="141">
        <v>5.9279999999999999</v>
      </c>
      <c r="J836" s="149">
        <v>1732</v>
      </c>
      <c r="K836" s="149">
        <f t="shared" si="82"/>
        <v>10267.296</v>
      </c>
      <c r="L836" s="149"/>
      <c r="M836" s="149">
        <f t="shared" si="83"/>
        <v>10267.296</v>
      </c>
      <c r="N836" s="149"/>
      <c r="O836" s="149"/>
      <c r="P836" s="155"/>
    </row>
    <row r="837" spans="1:17" s="15" customFormat="1" x14ac:dyDescent="0.2">
      <c r="A837" t="s">
        <v>1400</v>
      </c>
      <c r="B837" t="s">
        <v>1401</v>
      </c>
      <c r="C837" s="15" t="s">
        <v>28</v>
      </c>
      <c r="D837" s="138" t="s">
        <v>100</v>
      </c>
      <c r="E837" s="139" t="s">
        <v>1414</v>
      </c>
      <c r="F837" s="140" t="s">
        <v>1415</v>
      </c>
      <c r="G837" s="139" t="s">
        <v>28</v>
      </c>
      <c r="H837" s="141">
        <v>8.1199999999999992</v>
      </c>
      <c r="I837" s="141">
        <v>10.555999999999999</v>
      </c>
      <c r="J837" s="149">
        <v>16041</v>
      </c>
      <c r="K837" s="149">
        <f t="shared" si="82"/>
        <v>169328.79599999997</v>
      </c>
      <c r="L837" s="149"/>
      <c r="M837" s="149">
        <f t="shared" si="83"/>
        <v>169328.79599999997</v>
      </c>
      <c r="N837" s="149"/>
      <c r="O837" s="149"/>
      <c r="P837" s="155"/>
    </row>
    <row r="838" spans="1:17" s="16" customFormat="1" x14ac:dyDescent="0.2">
      <c r="A838" t="s">
        <v>1400</v>
      </c>
      <c r="B838" t="s">
        <v>1401</v>
      </c>
      <c r="C838" s="16" t="s">
        <v>1399</v>
      </c>
      <c r="D838" s="142" t="s">
        <v>101</v>
      </c>
      <c r="E838" s="143" t="s">
        <v>1434</v>
      </c>
      <c r="F838" s="144" t="s">
        <v>1435</v>
      </c>
      <c r="G838" s="143" t="s">
        <v>69</v>
      </c>
      <c r="H838" s="146">
        <v>92.9</v>
      </c>
      <c r="I838" s="146">
        <v>120.77</v>
      </c>
      <c r="J838" s="149">
        <v>6972</v>
      </c>
      <c r="K838" s="149">
        <f t="shared" si="82"/>
        <v>842008.44</v>
      </c>
      <c r="L838" s="149"/>
      <c r="M838" s="149"/>
      <c r="N838" s="149">
        <f t="shared" ref="N838" si="84">+J838*I838</f>
        <v>842008.44</v>
      </c>
      <c r="O838" s="149"/>
      <c r="P838" s="156"/>
    </row>
    <row r="839" spans="1:17" s="1" customFormat="1" ht="51" x14ac:dyDescent="0.2">
      <c r="A839" t="s">
        <v>1400</v>
      </c>
      <c r="B839" t="s">
        <v>1401</v>
      </c>
      <c r="C839" s="12" t="s">
        <v>1397</v>
      </c>
      <c r="D839" s="130" t="s">
        <v>115</v>
      </c>
      <c r="E839" s="131" t="s">
        <v>1436</v>
      </c>
      <c r="F839" s="131" t="s">
        <v>1437</v>
      </c>
      <c r="G839" s="132" t="s">
        <v>1405</v>
      </c>
      <c r="H839" s="133">
        <v>12.89</v>
      </c>
      <c r="I839" s="133"/>
      <c r="J839" s="149"/>
      <c r="K839" s="149"/>
      <c r="L839" s="149"/>
      <c r="M839" s="149"/>
      <c r="N839" s="149"/>
      <c r="O839" s="149"/>
      <c r="P839" s="153"/>
      <c r="Q839" s="35"/>
    </row>
    <row r="840" spans="1:17" s="14" customFormat="1" x14ac:dyDescent="0.2">
      <c r="A840" t="s">
        <v>1400</v>
      </c>
      <c r="B840" t="s">
        <v>1401</v>
      </c>
      <c r="C840" s="14" t="s">
        <v>24</v>
      </c>
      <c r="D840" s="134" t="s">
        <v>118</v>
      </c>
      <c r="E840" s="135" t="s">
        <v>18</v>
      </c>
      <c r="F840" s="136" t="s">
        <v>23</v>
      </c>
      <c r="G840" s="135" t="s">
        <v>24</v>
      </c>
      <c r="H840" s="137">
        <v>190.24</v>
      </c>
      <c r="I840" s="137">
        <v>2452.1936000000001</v>
      </c>
      <c r="J840" s="149">
        <v>22914.53</v>
      </c>
      <c r="K840" s="149">
        <f t="shared" ref="K840:K844" si="85">+J840*I840</f>
        <v>56190863.813007995</v>
      </c>
      <c r="L840" s="149">
        <f>+J840*I840</f>
        <v>56190863.813007995</v>
      </c>
      <c r="M840" s="149"/>
      <c r="N840" s="149"/>
      <c r="O840" s="149"/>
      <c r="P840" s="154"/>
    </row>
    <row r="841" spans="1:17" s="15" customFormat="1" x14ac:dyDescent="0.2">
      <c r="A841" t="s">
        <v>1400</v>
      </c>
      <c r="B841" t="s">
        <v>1401</v>
      </c>
      <c r="C841" s="15" t="s">
        <v>28</v>
      </c>
      <c r="D841" s="138" t="s">
        <v>119</v>
      </c>
      <c r="E841" s="139" t="s">
        <v>30</v>
      </c>
      <c r="F841" s="140" t="s">
        <v>31</v>
      </c>
      <c r="G841" s="139" t="s">
        <v>28</v>
      </c>
      <c r="H841" s="141">
        <v>0.22</v>
      </c>
      <c r="I841" s="141">
        <v>2.8357999999999999</v>
      </c>
      <c r="J841" s="149">
        <v>106655</v>
      </c>
      <c r="K841" s="149">
        <f t="shared" si="85"/>
        <v>302452.24900000001</v>
      </c>
      <c r="L841" s="149"/>
      <c r="M841" s="149">
        <f t="shared" ref="M841:M843" si="86">+J841*I841</f>
        <v>302452.24900000001</v>
      </c>
      <c r="N841" s="149"/>
      <c r="O841" s="149"/>
      <c r="P841" s="155"/>
    </row>
    <row r="842" spans="1:17" s="15" customFormat="1" x14ac:dyDescent="0.2">
      <c r="A842" t="s">
        <v>1400</v>
      </c>
      <c r="B842" t="s">
        <v>1401</v>
      </c>
      <c r="C842" s="15" t="s">
        <v>28</v>
      </c>
      <c r="D842" s="138" t="s">
        <v>120</v>
      </c>
      <c r="E842" s="139" t="s">
        <v>33</v>
      </c>
      <c r="F842" s="140" t="s">
        <v>34</v>
      </c>
      <c r="G842" s="139" t="s">
        <v>28</v>
      </c>
      <c r="H842" s="141">
        <v>4.28</v>
      </c>
      <c r="I842" s="141">
        <v>55.169199999999996</v>
      </c>
      <c r="J842" s="149">
        <v>1732</v>
      </c>
      <c r="K842" s="149">
        <f t="shared" si="85"/>
        <v>95553.054399999994</v>
      </c>
      <c r="L842" s="149"/>
      <c r="M842" s="149">
        <f t="shared" si="86"/>
        <v>95553.054399999994</v>
      </c>
      <c r="N842" s="149"/>
      <c r="O842" s="149"/>
      <c r="P842" s="155"/>
    </row>
    <row r="843" spans="1:17" s="15" customFormat="1" x14ac:dyDescent="0.2">
      <c r="A843" t="s">
        <v>1400</v>
      </c>
      <c r="B843" t="s">
        <v>1401</v>
      </c>
      <c r="C843" s="15" t="s">
        <v>28</v>
      </c>
      <c r="D843" s="138" t="s">
        <v>123</v>
      </c>
      <c r="E843" s="139" t="s">
        <v>1414</v>
      </c>
      <c r="F843" s="140" t="s">
        <v>1415</v>
      </c>
      <c r="G843" s="139" t="s">
        <v>28</v>
      </c>
      <c r="H843" s="141">
        <v>13.34</v>
      </c>
      <c r="I843" s="141">
        <v>171.95259999999999</v>
      </c>
      <c r="J843" s="149">
        <v>16041</v>
      </c>
      <c r="K843" s="149">
        <f t="shared" si="85"/>
        <v>2758291.6565999999</v>
      </c>
      <c r="L843" s="149"/>
      <c r="M843" s="149">
        <f t="shared" si="86"/>
        <v>2758291.6565999999</v>
      </c>
      <c r="N843" s="149"/>
      <c r="O843" s="149"/>
      <c r="P843" s="155"/>
    </row>
    <row r="844" spans="1:17" s="16" customFormat="1" x14ac:dyDescent="0.2">
      <c r="A844" t="s">
        <v>1400</v>
      </c>
      <c r="B844" t="s">
        <v>1401</v>
      </c>
      <c r="C844" s="16" t="s">
        <v>1399</v>
      </c>
      <c r="D844" s="142" t="s">
        <v>126</v>
      </c>
      <c r="E844" s="143" t="s">
        <v>1438</v>
      </c>
      <c r="F844" s="144" t="s">
        <v>1439</v>
      </c>
      <c r="G844" s="143" t="s">
        <v>69</v>
      </c>
      <c r="H844" s="146">
        <v>89.9</v>
      </c>
      <c r="I844" s="146">
        <v>1158.8109999999999</v>
      </c>
      <c r="J844" s="149">
        <v>4671</v>
      </c>
      <c r="K844" s="149">
        <f t="shared" si="85"/>
        <v>5412806.1809999999</v>
      </c>
      <c r="L844" s="149"/>
      <c r="M844" s="149"/>
      <c r="N844" s="149">
        <f t="shared" ref="N844" si="87">+J844*I844</f>
        <v>5412806.1809999999</v>
      </c>
      <c r="O844" s="149"/>
      <c r="P844" s="156"/>
    </row>
    <row r="845" spans="1:17" s="1" customFormat="1" x14ac:dyDescent="0.2">
      <c r="A845" t="s">
        <v>1400</v>
      </c>
      <c r="B845" t="s">
        <v>1401</v>
      </c>
      <c r="C845" s="12" t="s">
        <v>1397</v>
      </c>
      <c r="D845" s="130" t="s">
        <v>129</v>
      </c>
      <c r="E845" s="131" t="s">
        <v>1440</v>
      </c>
      <c r="F845" s="131" t="s">
        <v>1441</v>
      </c>
      <c r="G845" s="132" t="s">
        <v>1442</v>
      </c>
      <c r="H845" s="148">
        <v>1</v>
      </c>
      <c r="I845" s="148"/>
      <c r="J845" s="149"/>
      <c r="K845" s="149"/>
      <c r="L845" s="149"/>
      <c r="M845" s="149"/>
      <c r="N845" s="149"/>
      <c r="O845" s="149"/>
      <c r="P845" s="153"/>
      <c r="Q845" s="35"/>
    </row>
    <row r="846" spans="1:17" s="14" customFormat="1" x14ac:dyDescent="0.2">
      <c r="A846" t="s">
        <v>1400</v>
      </c>
      <c r="B846" t="s">
        <v>1401</v>
      </c>
      <c r="C846" s="14" t="s">
        <v>24</v>
      </c>
      <c r="D846" s="134" t="s">
        <v>133</v>
      </c>
      <c r="E846" s="135" t="s">
        <v>18</v>
      </c>
      <c r="F846" s="136" t="s">
        <v>23</v>
      </c>
      <c r="G846" s="135" t="s">
        <v>24</v>
      </c>
      <c r="H846" s="137">
        <v>6.69</v>
      </c>
      <c r="I846" s="137">
        <v>6.69</v>
      </c>
      <c r="J846" s="149">
        <v>22914.53</v>
      </c>
      <c r="K846" s="149">
        <f t="shared" ref="K846:K848" si="88">+J846*I846</f>
        <v>153298.20569999999</v>
      </c>
      <c r="L846" s="149">
        <f>+J846*I846</f>
        <v>153298.20569999999</v>
      </c>
      <c r="M846" s="149"/>
      <c r="N846" s="149"/>
      <c r="O846" s="149"/>
      <c r="P846" s="154"/>
    </row>
    <row r="847" spans="1:17" s="15" customFormat="1" x14ac:dyDescent="0.2">
      <c r="A847" t="s">
        <v>1400</v>
      </c>
      <c r="B847" t="s">
        <v>1401</v>
      </c>
      <c r="C847" s="15" t="s">
        <v>28</v>
      </c>
      <c r="D847" s="138" t="s">
        <v>134</v>
      </c>
      <c r="E847" s="139" t="s">
        <v>30</v>
      </c>
      <c r="F847" s="140" t="s">
        <v>31</v>
      </c>
      <c r="G847" s="139" t="s">
        <v>28</v>
      </c>
      <c r="H847" s="141">
        <v>0.08</v>
      </c>
      <c r="I847" s="141">
        <v>0.08</v>
      </c>
      <c r="J847" s="149">
        <v>106655</v>
      </c>
      <c r="K847" s="149">
        <f t="shared" si="88"/>
        <v>8532.4</v>
      </c>
      <c r="L847" s="149"/>
      <c r="M847" s="149">
        <f t="shared" ref="M847:M848" si="89">+J847*I847</f>
        <v>8532.4</v>
      </c>
      <c r="N847" s="149"/>
      <c r="O847" s="149"/>
      <c r="P847" s="155"/>
    </row>
    <row r="848" spans="1:17" s="15" customFormat="1" x14ac:dyDescent="0.2">
      <c r="A848" t="s">
        <v>1400</v>
      </c>
      <c r="B848" t="s">
        <v>1401</v>
      </c>
      <c r="C848" s="15" t="s">
        <v>28</v>
      </c>
      <c r="D848" s="138" t="s">
        <v>135</v>
      </c>
      <c r="E848" s="139" t="s">
        <v>33</v>
      </c>
      <c r="F848" s="140" t="s">
        <v>34</v>
      </c>
      <c r="G848" s="139" t="s">
        <v>28</v>
      </c>
      <c r="H848" s="141">
        <v>0.17</v>
      </c>
      <c r="I848" s="141">
        <v>0.17</v>
      </c>
      <c r="J848" s="149">
        <v>1732</v>
      </c>
      <c r="K848" s="149">
        <f t="shared" si="88"/>
        <v>294.44</v>
      </c>
      <c r="L848" s="149"/>
      <c r="M848" s="149">
        <f t="shared" si="89"/>
        <v>294.44</v>
      </c>
      <c r="N848" s="149"/>
      <c r="O848" s="149"/>
      <c r="P848" s="155"/>
    </row>
    <row r="849" spans="1:17" s="1" customFormat="1" x14ac:dyDescent="0.2">
      <c r="A849" t="s">
        <v>1400</v>
      </c>
      <c r="B849" t="s">
        <v>1401</v>
      </c>
      <c r="C849" s="1" t="s">
        <v>1443</v>
      </c>
      <c r="D849" s="130" t="s">
        <v>140</v>
      </c>
      <c r="E849" s="131" t="s">
        <v>715</v>
      </c>
      <c r="F849" s="131" t="s">
        <v>1444</v>
      </c>
      <c r="G849" s="132" t="s">
        <v>42</v>
      </c>
      <c r="H849" s="148">
        <v>1</v>
      </c>
      <c r="I849" s="148">
        <f>+H849</f>
        <v>1</v>
      </c>
      <c r="J849" s="149">
        <v>29910714.285714284</v>
      </c>
      <c r="K849" s="149">
        <f>+J849*I849</f>
        <v>29910714.285714284</v>
      </c>
      <c r="L849" s="149"/>
      <c r="M849" s="149"/>
      <c r="N849" s="149"/>
      <c r="O849" s="157"/>
      <c r="P849" s="167">
        <f>+J849*I849</f>
        <v>29910714.285714284</v>
      </c>
    </row>
    <row r="850" spans="1:17" s="1" customFormat="1" ht="51" x14ac:dyDescent="0.2">
      <c r="A850" t="s">
        <v>1400</v>
      </c>
      <c r="B850" t="s">
        <v>1401</v>
      </c>
      <c r="C850" s="12" t="s">
        <v>1397</v>
      </c>
      <c r="D850" s="130" t="s">
        <v>149</v>
      </c>
      <c r="E850" s="131" t="s">
        <v>1445</v>
      </c>
      <c r="F850" s="131" t="s">
        <v>1446</v>
      </c>
      <c r="G850" s="132" t="s">
        <v>42</v>
      </c>
      <c r="H850" s="148">
        <v>5</v>
      </c>
      <c r="I850" s="148"/>
      <c r="J850" s="149"/>
      <c r="K850" s="149"/>
      <c r="L850" s="149"/>
      <c r="M850" s="149"/>
      <c r="N850" s="149"/>
      <c r="O850" s="149"/>
      <c r="P850" s="153"/>
      <c r="Q850" s="35"/>
    </row>
    <row r="851" spans="1:17" s="14" customFormat="1" x14ac:dyDescent="0.2">
      <c r="A851" t="s">
        <v>1400</v>
      </c>
      <c r="B851" t="s">
        <v>1401</v>
      </c>
      <c r="C851" s="14" t="s">
        <v>24</v>
      </c>
      <c r="D851" s="134" t="s">
        <v>152</v>
      </c>
      <c r="E851" s="135" t="s">
        <v>18</v>
      </c>
      <c r="F851" s="136" t="s">
        <v>23</v>
      </c>
      <c r="G851" s="135" t="s">
        <v>24</v>
      </c>
      <c r="H851" s="137">
        <v>2.91</v>
      </c>
      <c r="I851" s="137">
        <v>14.55</v>
      </c>
      <c r="J851" s="149">
        <v>22914.53</v>
      </c>
      <c r="K851" s="149">
        <f t="shared" ref="K851:K861" si="90">+J851*I851</f>
        <v>333406.41149999999</v>
      </c>
      <c r="L851" s="149">
        <f>+J851*I851</f>
        <v>333406.41149999999</v>
      </c>
      <c r="M851" s="149"/>
      <c r="N851" s="149"/>
      <c r="O851" s="149"/>
      <c r="P851" s="154"/>
    </row>
    <row r="852" spans="1:17" s="15" customFormat="1" x14ac:dyDescent="0.2">
      <c r="A852" t="s">
        <v>1400</v>
      </c>
      <c r="B852" t="s">
        <v>1401</v>
      </c>
      <c r="C852" s="15" t="s">
        <v>28</v>
      </c>
      <c r="D852" s="138" t="s">
        <v>153</v>
      </c>
      <c r="E852" s="139" t="s">
        <v>98</v>
      </c>
      <c r="F852" s="140" t="s">
        <v>99</v>
      </c>
      <c r="G852" s="139" t="s">
        <v>28</v>
      </c>
      <c r="H852" s="141">
        <v>0.63</v>
      </c>
      <c r="I852" s="141">
        <v>3.15</v>
      </c>
      <c r="J852" s="149">
        <v>6858</v>
      </c>
      <c r="K852" s="149">
        <f t="shared" si="90"/>
        <v>21602.7</v>
      </c>
      <c r="L852" s="149"/>
      <c r="M852" s="149">
        <f t="shared" ref="M852:M853" si="91">+J852*I852</f>
        <v>21602.7</v>
      </c>
      <c r="N852" s="149"/>
      <c r="O852" s="149"/>
      <c r="P852" s="155"/>
    </row>
    <row r="853" spans="1:17" s="15" customFormat="1" x14ac:dyDescent="0.2">
      <c r="A853" t="s">
        <v>1400</v>
      </c>
      <c r="B853" t="s">
        <v>1401</v>
      </c>
      <c r="C853" s="15" t="s">
        <v>28</v>
      </c>
      <c r="D853" s="138" t="s">
        <v>154</v>
      </c>
      <c r="E853" s="139" t="s">
        <v>30</v>
      </c>
      <c r="F853" s="140" t="s">
        <v>31</v>
      </c>
      <c r="G853" s="139" t="s">
        <v>28</v>
      </c>
      <c r="H853" s="141">
        <v>0.02</v>
      </c>
      <c r="I853" s="141">
        <v>0.1</v>
      </c>
      <c r="J853" s="149">
        <v>106655</v>
      </c>
      <c r="K853" s="149">
        <f t="shared" si="90"/>
        <v>10665.5</v>
      </c>
      <c r="L853" s="149"/>
      <c r="M853" s="149">
        <f t="shared" si="91"/>
        <v>10665.5</v>
      </c>
      <c r="N853" s="149"/>
      <c r="O853" s="149"/>
      <c r="P853" s="155"/>
    </row>
    <row r="854" spans="1:17" s="16" customFormat="1" x14ac:dyDescent="0.2">
      <c r="A854" t="s">
        <v>1400</v>
      </c>
      <c r="B854" t="s">
        <v>1401</v>
      </c>
      <c r="C854" s="16" t="s">
        <v>1399</v>
      </c>
      <c r="D854" s="142" t="s">
        <v>157</v>
      </c>
      <c r="E854" s="143" t="s">
        <v>1447</v>
      </c>
      <c r="F854" s="144" t="s">
        <v>1448</v>
      </c>
      <c r="G854" s="143" t="s">
        <v>107</v>
      </c>
      <c r="H854" s="146">
        <v>3.3E-4</v>
      </c>
      <c r="I854" s="146">
        <v>1.65E-3</v>
      </c>
      <c r="J854" s="149">
        <v>11250000</v>
      </c>
      <c r="K854" s="149">
        <f t="shared" si="90"/>
        <v>18562.5</v>
      </c>
      <c r="L854" s="149"/>
      <c r="M854" s="149"/>
      <c r="N854" s="149">
        <f t="shared" ref="N854:N861" si="92">+J854*I854</f>
        <v>18562.5</v>
      </c>
      <c r="O854" s="149"/>
      <c r="P854" s="156"/>
    </row>
    <row r="855" spans="1:17" s="16" customFormat="1" ht="24" x14ac:dyDescent="0.2">
      <c r="A855" t="s">
        <v>1400</v>
      </c>
      <c r="B855" t="s">
        <v>1401</v>
      </c>
      <c r="C855" s="16" t="s">
        <v>1399</v>
      </c>
      <c r="D855" s="142" t="s">
        <v>1449</v>
      </c>
      <c r="E855" s="143" t="s">
        <v>1450</v>
      </c>
      <c r="F855" s="144" t="s">
        <v>1451</v>
      </c>
      <c r="G855" s="143" t="s">
        <v>107</v>
      </c>
      <c r="H855" s="146">
        <v>2.0699999999999998E-3</v>
      </c>
      <c r="I855" s="146">
        <v>1.035E-2</v>
      </c>
      <c r="J855" s="149">
        <v>15402000</v>
      </c>
      <c r="K855" s="149">
        <f t="shared" si="90"/>
        <v>159410.70000000001</v>
      </c>
      <c r="L855" s="149"/>
      <c r="M855" s="149"/>
      <c r="N855" s="149">
        <f t="shared" si="92"/>
        <v>159410.70000000001</v>
      </c>
      <c r="O855" s="149"/>
      <c r="P855" s="156"/>
    </row>
    <row r="856" spans="1:17" s="1" customFormat="1" x14ac:dyDescent="0.2">
      <c r="A856" t="s">
        <v>1400</v>
      </c>
      <c r="B856" t="s">
        <v>1401</v>
      </c>
      <c r="C856" s="16" t="s">
        <v>1399</v>
      </c>
      <c r="D856" s="130" t="s">
        <v>161</v>
      </c>
      <c r="E856" s="131" t="s">
        <v>1452</v>
      </c>
      <c r="F856" s="131" t="s">
        <v>1453</v>
      </c>
      <c r="G856" s="132" t="s">
        <v>42</v>
      </c>
      <c r="H856" s="148">
        <v>3</v>
      </c>
      <c r="I856" s="148">
        <f t="shared" ref="I856:I861" si="93">+H856</f>
        <v>3</v>
      </c>
      <c r="J856" s="149">
        <v>520000</v>
      </c>
      <c r="K856" s="149">
        <f t="shared" si="90"/>
        <v>1560000</v>
      </c>
      <c r="L856" s="149"/>
      <c r="M856" s="149"/>
      <c r="N856" s="149">
        <f t="shared" si="92"/>
        <v>1560000</v>
      </c>
      <c r="O856" s="149"/>
      <c r="P856" s="153"/>
    </row>
    <row r="857" spans="1:17" s="1" customFormat="1" x14ac:dyDescent="0.2">
      <c r="A857" t="s">
        <v>1400</v>
      </c>
      <c r="B857" t="s">
        <v>1401</v>
      </c>
      <c r="C857" s="16" t="s">
        <v>1399</v>
      </c>
      <c r="D857" s="130" t="s">
        <v>169</v>
      </c>
      <c r="E857" s="131" t="s">
        <v>1452</v>
      </c>
      <c r="F857" s="131" t="s">
        <v>1454</v>
      </c>
      <c r="G857" s="132" t="s">
        <v>42</v>
      </c>
      <c r="H857" s="148">
        <v>2</v>
      </c>
      <c r="I857" s="148">
        <f t="shared" si="93"/>
        <v>2</v>
      </c>
      <c r="J857" s="149">
        <v>620000</v>
      </c>
      <c r="K857" s="149">
        <f t="shared" si="90"/>
        <v>1240000</v>
      </c>
      <c r="L857" s="149"/>
      <c r="M857" s="149"/>
      <c r="N857" s="149">
        <f t="shared" si="92"/>
        <v>1240000</v>
      </c>
      <c r="O857" s="149"/>
      <c r="P857" s="153"/>
    </row>
    <row r="858" spans="1:17" s="1" customFormat="1" x14ac:dyDescent="0.2">
      <c r="A858" t="s">
        <v>1400</v>
      </c>
      <c r="B858" t="s">
        <v>1401</v>
      </c>
      <c r="C858" s="16" t="s">
        <v>1399</v>
      </c>
      <c r="D858" s="130" t="s">
        <v>172</v>
      </c>
      <c r="E858" s="131" t="s">
        <v>1455</v>
      </c>
      <c r="F858" s="131" t="s">
        <v>1456</v>
      </c>
      <c r="G858" s="132" t="s">
        <v>42</v>
      </c>
      <c r="H858" s="148">
        <v>6</v>
      </c>
      <c r="I858" s="148">
        <f t="shared" si="93"/>
        <v>6</v>
      </c>
      <c r="J858" s="149">
        <v>41964</v>
      </c>
      <c r="K858" s="149">
        <f t="shared" si="90"/>
        <v>251784</v>
      </c>
      <c r="L858" s="149"/>
      <c r="M858" s="149"/>
      <c r="N858" s="149">
        <f t="shared" si="92"/>
        <v>251784</v>
      </c>
      <c r="O858" s="149"/>
      <c r="P858" s="153"/>
    </row>
    <row r="859" spans="1:17" s="1" customFormat="1" x14ac:dyDescent="0.2">
      <c r="A859" t="s">
        <v>1400</v>
      </c>
      <c r="B859" t="s">
        <v>1401</v>
      </c>
      <c r="C859" s="16" t="s">
        <v>1399</v>
      </c>
      <c r="D859" s="130" t="s">
        <v>176</v>
      </c>
      <c r="E859" s="131" t="s">
        <v>1455</v>
      </c>
      <c r="F859" s="131" t="s">
        <v>1457</v>
      </c>
      <c r="G859" s="132" t="s">
        <v>42</v>
      </c>
      <c r="H859" s="148">
        <v>4</v>
      </c>
      <c r="I859" s="148">
        <f t="shared" si="93"/>
        <v>4</v>
      </c>
      <c r="J859" s="149">
        <v>50893</v>
      </c>
      <c r="K859" s="149">
        <f t="shared" si="90"/>
        <v>203572</v>
      </c>
      <c r="L859" s="149"/>
      <c r="M859" s="149"/>
      <c r="N859" s="149">
        <f t="shared" si="92"/>
        <v>203572</v>
      </c>
      <c r="O859" s="149"/>
      <c r="P859" s="153"/>
    </row>
    <row r="860" spans="1:17" s="1" customFormat="1" x14ac:dyDescent="0.2">
      <c r="A860" t="s">
        <v>1400</v>
      </c>
      <c r="B860" t="s">
        <v>1401</v>
      </c>
      <c r="C860" s="16" t="s">
        <v>1399</v>
      </c>
      <c r="D860" s="130" t="s">
        <v>188</v>
      </c>
      <c r="E860" s="131" t="s">
        <v>1458</v>
      </c>
      <c r="F860" s="131" t="s">
        <v>1459</v>
      </c>
      <c r="G860" s="132" t="s">
        <v>42</v>
      </c>
      <c r="H860" s="148">
        <v>6</v>
      </c>
      <c r="I860" s="148">
        <f t="shared" si="93"/>
        <v>6</v>
      </c>
      <c r="J860" s="149">
        <v>25000</v>
      </c>
      <c r="K860" s="149">
        <f t="shared" si="90"/>
        <v>150000</v>
      </c>
      <c r="L860" s="149"/>
      <c r="M860" s="149"/>
      <c r="N860" s="149">
        <f t="shared" si="92"/>
        <v>150000</v>
      </c>
      <c r="O860" s="149"/>
      <c r="P860" s="153"/>
    </row>
    <row r="861" spans="1:17" s="1" customFormat="1" x14ac:dyDescent="0.2">
      <c r="A861" t="s">
        <v>1400</v>
      </c>
      <c r="B861" t="s">
        <v>1401</v>
      </c>
      <c r="C861" s="16" t="s">
        <v>1399</v>
      </c>
      <c r="D861" s="130" t="s">
        <v>208</v>
      </c>
      <c r="E861" s="131" t="s">
        <v>1458</v>
      </c>
      <c r="F861" s="131" t="s">
        <v>1460</v>
      </c>
      <c r="G861" s="132" t="s">
        <v>42</v>
      </c>
      <c r="H861" s="148">
        <v>4</v>
      </c>
      <c r="I861" s="148">
        <f t="shared" si="93"/>
        <v>4</v>
      </c>
      <c r="J861" s="149">
        <v>29000</v>
      </c>
      <c r="K861" s="149">
        <f t="shared" si="90"/>
        <v>116000</v>
      </c>
      <c r="L861" s="149"/>
      <c r="M861" s="149"/>
      <c r="N861" s="149">
        <f t="shared" si="92"/>
        <v>116000</v>
      </c>
      <c r="O861" s="149"/>
      <c r="P861" s="153"/>
    </row>
    <row r="862" spans="1:17" s="1" customFormat="1" ht="27.75" customHeight="1" x14ac:dyDescent="0.2">
      <c r="A862" t="s">
        <v>1400</v>
      </c>
      <c r="B862" t="s">
        <v>1401</v>
      </c>
      <c r="C862" s="12" t="s">
        <v>1397</v>
      </c>
      <c r="D862" s="130" t="s">
        <v>221</v>
      </c>
      <c r="E862" s="131" t="s">
        <v>1461</v>
      </c>
      <c r="F862" s="131" t="s">
        <v>1462</v>
      </c>
      <c r="G862" s="132" t="s">
        <v>1463</v>
      </c>
      <c r="H862" s="148">
        <v>1</v>
      </c>
      <c r="I862" s="148"/>
      <c r="J862" s="149"/>
      <c r="K862" s="149"/>
      <c r="L862" s="149"/>
      <c r="M862" s="149"/>
      <c r="N862" s="149"/>
      <c r="O862" s="149"/>
      <c r="P862" s="153"/>
      <c r="Q862" s="35"/>
    </row>
    <row r="863" spans="1:17" s="14" customFormat="1" x14ac:dyDescent="0.2">
      <c r="A863" t="s">
        <v>1400</v>
      </c>
      <c r="B863" t="s">
        <v>1401</v>
      </c>
      <c r="C863" s="14" t="s">
        <v>24</v>
      </c>
      <c r="D863" s="134" t="s">
        <v>224</v>
      </c>
      <c r="E863" s="135" t="s">
        <v>18</v>
      </c>
      <c r="F863" s="136" t="s">
        <v>23</v>
      </c>
      <c r="G863" s="135" t="s">
        <v>24</v>
      </c>
      <c r="H863" s="137">
        <v>1.68</v>
      </c>
      <c r="I863" s="137">
        <v>1.68</v>
      </c>
      <c r="J863" s="149">
        <v>22914.53</v>
      </c>
      <c r="K863" s="149">
        <f t="shared" ref="K863:K903" si="94">+J863*I863</f>
        <v>38496.410399999993</v>
      </c>
      <c r="L863" s="149">
        <f>+J863*I863</f>
        <v>38496.410399999993</v>
      </c>
      <c r="M863" s="149"/>
      <c r="N863" s="149"/>
      <c r="O863" s="149"/>
      <c r="P863" s="154"/>
    </row>
    <row r="864" spans="1:17" s="15" customFormat="1" x14ac:dyDescent="0.2">
      <c r="A864" t="s">
        <v>1400</v>
      </c>
      <c r="B864" t="s">
        <v>1401</v>
      </c>
      <c r="C864" s="15" t="s">
        <v>28</v>
      </c>
      <c r="D864" s="138" t="s">
        <v>225</v>
      </c>
      <c r="E864" s="139" t="s">
        <v>30</v>
      </c>
      <c r="F864" s="140" t="s">
        <v>31</v>
      </c>
      <c r="G864" s="139" t="s">
        <v>28</v>
      </c>
      <c r="H864" s="141">
        <v>0.02</v>
      </c>
      <c r="I864" s="141">
        <v>0.02</v>
      </c>
      <c r="J864" s="149">
        <v>106655</v>
      </c>
      <c r="K864" s="149">
        <f t="shared" si="94"/>
        <v>2133.1</v>
      </c>
      <c r="L864" s="149"/>
      <c r="M864" s="149">
        <f>+J864*I864</f>
        <v>2133.1</v>
      </c>
      <c r="N864" s="149"/>
      <c r="O864" s="149"/>
      <c r="P864" s="155"/>
    </row>
    <row r="865" spans="1:16" s="1" customFormat="1" x14ac:dyDescent="0.2">
      <c r="A865" t="s">
        <v>1400</v>
      </c>
      <c r="B865" t="s">
        <v>1401</v>
      </c>
      <c r="C865" s="1" t="s">
        <v>1443</v>
      </c>
      <c r="D865" s="130" t="s">
        <v>227</v>
      </c>
      <c r="E865" s="131" t="s">
        <v>1464</v>
      </c>
      <c r="F865" s="131" t="s">
        <v>1465</v>
      </c>
      <c r="G865" s="132" t="s">
        <v>42</v>
      </c>
      <c r="H865" s="148">
        <v>1</v>
      </c>
      <c r="I865" s="148">
        <f t="shared" ref="I865:I903" si="95">+H865</f>
        <v>1</v>
      </c>
      <c r="J865" s="149">
        <v>450000</v>
      </c>
      <c r="K865" s="149">
        <f t="shared" si="94"/>
        <v>450000</v>
      </c>
      <c r="L865" s="149"/>
      <c r="M865" s="149"/>
      <c r="N865" s="149"/>
      <c r="O865" s="157"/>
      <c r="P865" s="167">
        <f>+J865*I865</f>
        <v>450000</v>
      </c>
    </row>
    <row r="866" spans="1:16" s="1" customFormat="1" x14ac:dyDescent="0.2">
      <c r="A866" t="s">
        <v>1400</v>
      </c>
      <c r="B866" t="s">
        <v>1401</v>
      </c>
      <c r="C866" s="16" t="s">
        <v>1399</v>
      </c>
      <c r="D866" s="130" t="s">
        <v>237</v>
      </c>
      <c r="E866" s="131" t="s">
        <v>1466</v>
      </c>
      <c r="F866" s="131" t="s">
        <v>1467</v>
      </c>
      <c r="G866" s="132" t="s">
        <v>42</v>
      </c>
      <c r="H866" s="148">
        <v>4</v>
      </c>
      <c r="I866" s="148">
        <f t="shared" si="95"/>
        <v>4</v>
      </c>
      <c r="J866" s="149">
        <v>55000</v>
      </c>
      <c r="K866" s="149">
        <f t="shared" si="94"/>
        <v>220000</v>
      </c>
      <c r="L866" s="149"/>
      <c r="M866" s="149"/>
      <c r="N866" s="149">
        <f t="shared" ref="N866:N903" si="96">+J866*I866</f>
        <v>220000</v>
      </c>
      <c r="O866" s="149"/>
      <c r="P866" s="153"/>
    </row>
    <row r="867" spans="1:16" s="1" customFormat="1" x14ac:dyDescent="0.2">
      <c r="A867" t="s">
        <v>1400</v>
      </c>
      <c r="B867" t="s">
        <v>1401</v>
      </c>
      <c r="C867" s="16" t="s">
        <v>1399</v>
      </c>
      <c r="D867" s="130" t="s">
        <v>257</v>
      </c>
      <c r="E867" s="131" t="s">
        <v>1468</v>
      </c>
      <c r="F867" s="131" t="s">
        <v>1469</v>
      </c>
      <c r="G867" s="132" t="s">
        <v>42</v>
      </c>
      <c r="H867" s="148">
        <v>12</v>
      </c>
      <c r="I867" s="148">
        <f t="shared" si="95"/>
        <v>12</v>
      </c>
      <c r="J867" s="149">
        <v>18000</v>
      </c>
      <c r="K867" s="149">
        <f t="shared" si="94"/>
        <v>216000</v>
      </c>
      <c r="L867" s="149"/>
      <c r="M867" s="149"/>
      <c r="N867" s="149">
        <f t="shared" si="96"/>
        <v>216000</v>
      </c>
      <c r="O867" s="149"/>
      <c r="P867" s="153"/>
    </row>
    <row r="868" spans="1:16" s="1" customFormat="1" x14ac:dyDescent="0.2">
      <c r="A868" t="s">
        <v>1400</v>
      </c>
      <c r="B868" t="s">
        <v>1401</v>
      </c>
      <c r="C868" s="16" t="s">
        <v>1399</v>
      </c>
      <c r="D868" s="130" t="s">
        <v>273</v>
      </c>
      <c r="E868" s="131" t="s">
        <v>1470</v>
      </c>
      <c r="F868" s="131" t="s">
        <v>1471</v>
      </c>
      <c r="G868" s="132" t="s">
        <v>42</v>
      </c>
      <c r="H868" s="148">
        <v>180</v>
      </c>
      <c r="I868" s="148">
        <f t="shared" si="95"/>
        <v>180</v>
      </c>
      <c r="J868" s="149">
        <v>16000</v>
      </c>
      <c r="K868" s="149">
        <f t="shared" si="94"/>
        <v>2880000</v>
      </c>
      <c r="L868" s="149"/>
      <c r="M868" s="149"/>
      <c r="N868" s="149">
        <f t="shared" si="96"/>
        <v>2880000</v>
      </c>
      <c r="O868" s="149"/>
      <c r="P868" s="153"/>
    </row>
    <row r="869" spans="1:16" s="1" customFormat="1" ht="25.5" x14ac:dyDescent="0.2">
      <c r="A869" t="s">
        <v>1400</v>
      </c>
      <c r="B869" t="s">
        <v>1401</v>
      </c>
      <c r="C869" s="16" t="s">
        <v>1399</v>
      </c>
      <c r="D869" s="130" t="s">
        <v>283</v>
      </c>
      <c r="E869" s="131" t="s">
        <v>1468</v>
      </c>
      <c r="F869" s="131" t="s">
        <v>1472</v>
      </c>
      <c r="G869" s="132" t="s">
        <v>42</v>
      </c>
      <c r="H869" s="148">
        <v>4</v>
      </c>
      <c r="I869" s="148">
        <f t="shared" si="95"/>
        <v>4</v>
      </c>
      <c r="J869" s="149">
        <v>9000</v>
      </c>
      <c r="K869" s="149">
        <f t="shared" si="94"/>
        <v>36000</v>
      </c>
      <c r="L869" s="149"/>
      <c r="M869" s="149"/>
      <c r="N869" s="149">
        <f t="shared" si="96"/>
        <v>36000</v>
      </c>
      <c r="O869" s="149"/>
      <c r="P869" s="153"/>
    </row>
    <row r="870" spans="1:16" s="1" customFormat="1" x14ac:dyDescent="0.2">
      <c r="A870" t="s">
        <v>1400</v>
      </c>
      <c r="B870" t="s">
        <v>1401</v>
      </c>
      <c r="C870" s="16" t="s">
        <v>1399</v>
      </c>
      <c r="D870" s="130" t="s">
        <v>288</v>
      </c>
      <c r="E870" s="131" t="s">
        <v>1473</v>
      </c>
      <c r="F870" s="131" t="s">
        <v>1474</v>
      </c>
      <c r="G870" s="132" t="s">
        <v>42</v>
      </c>
      <c r="H870" s="148">
        <v>6</v>
      </c>
      <c r="I870" s="148">
        <f t="shared" si="95"/>
        <v>6</v>
      </c>
      <c r="J870" s="149">
        <v>24554</v>
      </c>
      <c r="K870" s="149">
        <f t="shared" si="94"/>
        <v>147324</v>
      </c>
      <c r="L870" s="149"/>
      <c r="M870" s="149"/>
      <c r="N870" s="149">
        <f t="shared" si="96"/>
        <v>147324</v>
      </c>
      <c r="O870" s="149"/>
      <c r="P870" s="153"/>
    </row>
    <row r="871" spans="1:16" s="1" customFormat="1" x14ac:dyDescent="0.2">
      <c r="A871" t="s">
        <v>1400</v>
      </c>
      <c r="B871" t="s">
        <v>1401</v>
      </c>
      <c r="C871" s="16" t="s">
        <v>1399</v>
      </c>
      <c r="D871" s="130" t="s">
        <v>292</v>
      </c>
      <c r="E871" s="131" t="s">
        <v>1475</v>
      </c>
      <c r="F871" s="131" t="s">
        <v>1476</v>
      </c>
      <c r="G871" s="132" t="s">
        <v>42</v>
      </c>
      <c r="H871" s="148">
        <v>36</v>
      </c>
      <c r="I871" s="148">
        <f t="shared" si="95"/>
        <v>36</v>
      </c>
      <c r="J871" s="149">
        <v>11804</v>
      </c>
      <c r="K871" s="149">
        <f t="shared" si="94"/>
        <v>424944</v>
      </c>
      <c r="L871" s="149"/>
      <c r="M871" s="149"/>
      <c r="N871" s="149">
        <f t="shared" si="96"/>
        <v>424944</v>
      </c>
      <c r="O871" s="149"/>
      <c r="P871" s="153"/>
    </row>
    <row r="872" spans="1:16" s="1" customFormat="1" x14ac:dyDescent="0.2">
      <c r="A872" t="s">
        <v>1400</v>
      </c>
      <c r="B872" t="s">
        <v>1401</v>
      </c>
      <c r="C872" s="16" t="s">
        <v>1399</v>
      </c>
      <c r="D872" s="130" t="s">
        <v>298</v>
      </c>
      <c r="E872" s="131" t="s">
        <v>1477</v>
      </c>
      <c r="F872" s="131" t="s">
        <v>1478</v>
      </c>
      <c r="G872" s="132" t="s">
        <v>42</v>
      </c>
      <c r="H872" s="148">
        <v>4</v>
      </c>
      <c r="I872" s="148">
        <f t="shared" si="95"/>
        <v>4</v>
      </c>
      <c r="J872" s="149">
        <v>3616</v>
      </c>
      <c r="K872" s="149">
        <f t="shared" si="94"/>
        <v>14464</v>
      </c>
      <c r="L872" s="149"/>
      <c r="M872" s="149"/>
      <c r="N872" s="149">
        <f t="shared" si="96"/>
        <v>14464</v>
      </c>
      <c r="O872" s="149"/>
      <c r="P872" s="153"/>
    </row>
    <row r="873" spans="1:16" s="1" customFormat="1" x14ac:dyDescent="0.2">
      <c r="A873" t="s">
        <v>1400</v>
      </c>
      <c r="B873" t="s">
        <v>1401</v>
      </c>
      <c r="C873" s="16" t="s">
        <v>1399</v>
      </c>
      <c r="D873" s="130" t="s">
        <v>333</v>
      </c>
      <c r="E873" s="131" t="s">
        <v>1479</v>
      </c>
      <c r="F873" s="131" t="s">
        <v>1480</v>
      </c>
      <c r="G873" s="132" t="s">
        <v>42</v>
      </c>
      <c r="H873" s="148">
        <v>72</v>
      </c>
      <c r="I873" s="148">
        <f t="shared" si="95"/>
        <v>72</v>
      </c>
      <c r="J873" s="149">
        <v>973</v>
      </c>
      <c r="K873" s="149">
        <f t="shared" si="94"/>
        <v>70056</v>
      </c>
      <c r="L873" s="149"/>
      <c r="M873" s="149"/>
      <c r="N873" s="149">
        <f t="shared" si="96"/>
        <v>70056</v>
      </c>
      <c r="O873" s="149"/>
      <c r="P873" s="153"/>
    </row>
    <row r="874" spans="1:16" s="1" customFormat="1" x14ac:dyDescent="0.2">
      <c r="A874" t="s">
        <v>1400</v>
      </c>
      <c r="B874" t="s">
        <v>1401</v>
      </c>
      <c r="C874" s="16" t="s">
        <v>1399</v>
      </c>
      <c r="D874" s="130" t="s">
        <v>336</v>
      </c>
      <c r="E874" s="131" t="s">
        <v>1481</v>
      </c>
      <c r="F874" s="131" t="s">
        <v>1482</v>
      </c>
      <c r="G874" s="132" t="s">
        <v>42</v>
      </c>
      <c r="H874" s="148">
        <v>468</v>
      </c>
      <c r="I874" s="148">
        <f t="shared" si="95"/>
        <v>468</v>
      </c>
      <c r="J874" s="149">
        <v>634</v>
      </c>
      <c r="K874" s="149">
        <f t="shared" si="94"/>
        <v>296712</v>
      </c>
      <c r="L874" s="149"/>
      <c r="M874" s="149"/>
      <c r="N874" s="149">
        <f t="shared" si="96"/>
        <v>296712</v>
      </c>
      <c r="O874" s="149"/>
      <c r="P874" s="153"/>
    </row>
    <row r="875" spans="1:16" s="1" customFormat="1" x14ac:dyDescent="0.2">
      <c r="A875" t="s">
        <v>1400</v>
      </c>
      <c r="B875" t="s">
        <v>1401</v>
      </c>
      <c r="C875" s="16" t="s">
        <v>1399</v>
      </c>
      <c r="D875" s="130" t="s">
        <v>343</v>
      </c>
      <c r="E875" s="131" t="s">
        <v>1483</v>
      </c>
      <c r="F875" s="131" t="s">
        <v>1484</v>
      </c>
      <c r="G875" s="132" t="s">
        <v>42</v>
      </c>
      <c r="H875" s="148">
        <v>2</v>
      </c>
      <c r="I875" s="148">
        <f t="shared" si="95"/>
        <v>2</v>
      </c>
      <c r="J875" s="149">
        <v>37634</v>
      </c>
      <c r="K875" s="149">
        <f t="shared" si="94"/>
        <v>75268</v>
      </c>
      <c r="L875" s="149"/>
      <c r="M875" s="149"/>
      <c r="N875" s="149">
        <f t="shared" si="96"/>
        <v>75268</v>
      </c>
      <c r="O875" s="149"/>
      <c r="P875" s="153"/>
    </row>
    <row r="876" spans="1:16" s="1" customFormat="1" x14ac:dyDescent="0.2">
      <c r="A876" t="s">
        <v>1400</v>
      </c>
      <c r="B876" t="s">
        <v>1401</v>
      </c>
      <c r="C876" s="16" t="s">
        <v>1399</v>
      </c>
      <c r="D876" s="130" t="s">
        <v>349</v>
      </c>
      <c r="E876" s="131" t="s">
        <v>1485</v>
      </c>
      <c r="F876" s="131" t="s">
        <v>1486</v>
      </c>
      <c r="G876" s="132" t="s">
        <v>42</v>
      </c>
      <c r="H876" s="148">
        <v>144</v>
      </c>
      <c r="I876" s="148">
        <f t="shared" si="95"/>
        <v>144</v>
      </c>
      <c r="J876" s="149">
        <v>978</v>
      </c>
      <c r="K876" s="149">
        <f t="shared" si="94"/>
        <v>140832</v>
      </c>
      <c r="L876" s="149"/>
      <c r="M876" s="149"/>
      <c r="N876" s="149">
        <f t="shared" si="96"/>
        <v>140832</v>
      </c>
      <c r="O876" s="149"/>
      <c r="P876" s="153"/>
    </row>
    <row r="877" spans="1:16" s="1" customFormat="1" x14ac:dyDescent="0.2">
      <c r="A877" t="s">
        <v>1400</v>
      </c>
      <c r="B877" t="s">
        <v>1401</v>
      </c>
      <c r="C877" s="16" t="s">
        <v>1399</v>
      </c>
      <c r="D877" s="130" t="s">
        <v>356</v>
      </c>
      <c r="E877" s="131" t="s">
        <v>1483</v>
      </c>
      <c r="F877" s="131" t="s">
        <v>1487</v>
      </c>
      <c r="G877" s="132" t="s">
        <v>42</v>
      </c>
      <c r="H877" s="148">
        <v>20</v>
      </c>
      <c r="I877" s="148">
        <f t="shared" si="95"/>
        <v>20</v>
      </c>
      <c r="J877" s="149">
        <v>10759</v>
      </c>
      <c r="K877" s="149">
        <f t="shared" si="94"/>
        <v>215180</v>
      </c>
      <c r="L877" s="149"/>
      <c r="M877" s="149"/>
      <c r="N877" s="149">
        <f t="shared" si="96"/>
        <v>215180</v>
      </c>
      <c r="O877" s="149"/>
      <c r="P877" s="153"/>
    </row>
    <row r="878" spans="1:16" s="1" customFormat="1" x14ac:dyDescent="0.2">
      <c r="A878" t="s">
        <v>1400</v>
      </c>
      <c r="B878" t="s">
        <v>1401</v>
      </c>
      <c r="C878" s="16" t="s">
        <v>1399</v>
      </c>
      <c r="D878" s="130" t="s">
        <v>362</v>
      </c>
      <c r="E878" s="131" t="s">
        <v>1483</v>
      </c>
      <c r="F878" s="131" t="s">
        <v>1488</v>
      </c>
      <c r="G878" s="132" t="s">
        <v>42</v>
      </c>
      <c r="H878" s="148">
        <v>12</v>
      </c>
      <c r="I878" s="148">
        <f t="shared" si="95"/>
        <v>12</v>
      </c>
      <c r="J878" s="149">
        <v>5710</v>
      </c>
      <c r="K878" s="149">
        <f t="shared" si="94"/>
        <v>68520</v>
      </c>
      <c r="L878" s="149"/>
      <c r="M878" s="149"/>
      <c r="N878" s="149">
        <f t="shared" si="96"/>
        <v>68520</v>
      </c>
      <c r="O878" s="149"/>
      <c r="P878" s="153"/>
    </row>
    <row r="879" spans="1:16" s="1" customFormat="1" x14ac:dyDescent="0.2">
      <c r="A879" t="s">
        <v>1400</v>
      </c>
      <c r="B879" t="s">
        <v>1401</v>
      </c>
      <c r="C879" s="16" t="s">
        <v>1399</v>
      </c>
      <c r="D879" s="130" t="s">
        <v>370</v>
      </c>
      <c r="E879" s="131" t="s">
        <v>1483</v>
      </c>
      <c r="F879" s="131" t="s">
        <v>1489</v>
      </c>
      <c r="G879" s="132" t="s">
        <v>42</v>
      </c>
      <c r="H879" s="148">
        <v>4</v>
      </c>
      <c r="I879" s="148">
        <f t="shared" si="95"/>
        <v>4</v>
      </c>
      <c r="J879" s="149">
        <v>3679</v>
      </c>
      <c r="K879" s="149">
        <f t="shared" si="94"/>
        <v>14716</v>
      </c>
      <c r="L879" s="149"/>
      <c r="M879" s="149"/>
      <c r="N879" s="149">
        <f t="shared" si="96"/>
        <v>14716</v>
      </c>
      <c r="O879" s="149"/>
      <c r="P879" s="153"/>
    </row>
    <row r="880" spans="1:16" s="1" customFormat="1" x14ac:dyDescent="0.2">
      <c r="A880" t="s">
        <v>1400</v>
      </c>
      <c r="B880" t="s">
        <v>1401</v>
      </c>
      <c r="C880" s="16" t="s">
        <v>1399</v>
      </c>
      <c r="D880" s="130" t="s">
        <v>375</v>
      </c>
      <c r="E880" s="131" t="s">
        <v>1483</v>
      </c>
      <c r="F880" s="131" t="s">
        <v>1490</v>
      </c>
      <c r="G880" s="132" t="s">
        <v>42</v>
      </c>
      <c r="H880" s="148">
        <v>36</v>
      </c>
      <c r="I880" s="148">
        <f t="shared" si="95"/>
        <v>36</v>
      </c>
      <c r="J880" s="149">
        <v>1438</v>
      </c>
      <c r="K880" s="149">
        <f t="shared" si="94"/>
        <v>51768</v>
      </c>
      <c r="L880" s="149"/>
      <c r="M880" s="149"/>
      <c r="N880" s="149">
        <f t="shared" si="96"/>
        <v>51768</v>
      </c>
      <c r="O880" s="149"/>
      <c r="P880" s="153"/>
    </row>
    <row r="881" spans="1:16" s="1" customFormat="1" x14ac:dyDescent="0.2">
      <c r="A881" t="s">
        <v>1400</v>
      </c>
      <c r="B881" t="s">
        <v>1401</v>
      </c>
      <c r="C881" s="16" t="s">
        <v>1399</v>
      </c>
      <c r="D881" s="130" t="s">
        <v>379</v>
      </c>
      <c r="E881" s="131" t="s">
        <v>1491</v>
      </c>
      <c r="F881" s="131" t="s">
        <v>1492</v>
      </c>
      <c r="G881" s="132" t="s">
        <v>42</v>
      </c>
      <c r="H881" s="148">
        <v>4</v>
      </c>
      <c r="I881" s="148">
        <f t="shared" si="95"/>
        <v>4</v>
      </c>
      <c r="J881" s="149">
        <v>18679</v>
      </c>
      <c r="K881" s="149">
        <f t="shared" si="94"/>
        <v>74716</v>
      </c>
      <c r="L881" s="149"/>
      <c r="M881" s="149"/>
      <c r="N881" s="149">
        <f t="shared" si="96"/>
        <v>74716</v>
      </c>
      <c r="O881" s="149"/>
      <c r="P881" s="153"/>
    </row>
    <row r="882" spans="1:16" s="1" customFormat="1" x14ac:dyDescent="0.2">
      <c r="A882" t="s">
        <v>1400</v>
      </c>
      <c r="B882" t="s">
        <v>1401</v>
      </c>
      <c r="C882" s="16" t="s">
        <v>1399</v>
      </c>
      <c r="D882" s="130" t="s">
        <v>385</v>
      </c>
      <c r="E882" s="131" t="s">
        <v>1493</v>
      </c>
      <c r="F882" s="131" t="s">
        <v>1494</v>
      </c>
      <c r="G882" s="132" t="s">
        <v>42</v>
      </c>
      <c r="H882" s="148">
        <v>4</v>
      </c>
      <c r="I882" s="148">
        <f t="shared" si="95"/>
        <v>4</v>
      </c>
      <c r="J882" s="149">
        <v>5464</v>
      </c>
      <c r="K882" s="149">
        <f t="shared" si="94"/>
        <v>21856</v>
      </c>
      <c r="L882" s="149"/>
      <c r="M882" s="149"/>
      <c r="N882" s="149">
        <f t="shared" si="96"/>
        <v>21856</v>
      </c>
      <c r="O882" s="149"/>
      <c r="P882" s="153"/>
    </row>
    <row r="883" spans="1:16" s="1" customFormat="1" x14ac:dyDescent="0.2">
      <c r="A883" t="s">
        <v>1400</v>
      </c>
      <c r="B883" t="s">
        <v>1401</v>
      </c>
      <c r="C883" s="16" t="s">
        <v>1399</v>
      </c>
      <c r="D883" s="130" t="s">
        <v>392</v>
      </c>
      <c r="E883" s="131" t="s">
        <v>1495</v>
      </c>
      <c r="F883" s="131" t="s">
        <v>1496</v>
      </c>
      <c r="G883" s="132" t="s">
        <v>42</v>
      </c>
      <c r="H883" s="148">
        <v>24</v>
      </c>
      <c r="I883" s="148">
        <f t="shared" si="95"/>
        <v>24</v>
      </c>
      <c r="J883" s="149">
        <v>1856</v>
      </c>
      <c r="K883" s="149">
        <f t="shared" si="94"/>
        <v>44544</v>
      </c>
      <c r="L883" s="149"/>
      <c r="M883" s="149"/>
      <c r="N883" s="149">
        <f t="shared" si="96"/>
        <v>44544</v>
      </c>
      <c r="O883" s="149"/>
      <c r="P883" s="153"/>
    </row>
    <row r="884" spans="1:16" s="1" customFormat="1" x14ac:dyDescent="0.2">
      <c r="A884" t="s">
        <v>1400</v>
      </c>
      <c r="B884" t="s">
        <v>1401</v>
      </c>
      <c r="C884" s="16" t="s">
        <v>1399</v>
      </c>
      <c r="D884" s="130" t="s">
        <v>399</v>
      </c>
      <c r="E884" s="131" t="s">
        <v>1497</v>
      </c>
      <c r="F884" s="131" t="s">
        <v>1498</v>
      </c>
      <c r="G884" s="132" t="s">
        <v>42</v>
      </c>
      <c r="H884" s="148">
        <v>200</v>
      </c>
      <c r="I884" s="148">
        <f t="shared" si="95"/>
        <v>200</v>
      </c>
      <c r="J884" s="149">
        <v>1795</v>
      </c>
      <c r="K884" s="149">
        <f t="shared" si="94"/>
        <v>359000</v>
      </c>
      <c r="L884" s="149"/>
      <c r="M884" s="149"/>
      <c r="N884" s="149">
        <f t="shared" si="96"/>
        <v>359000</v>
      </c>
      <c r="O884" s="149"/>
      <c r="P884" s="153"/>
    </row>
    <row r="885" spans="1:16" s="1" customFormat="1" x14ac:dyDescent="0.2">
      <c r="A885" t="s">
        <v>1400</v>
      </c>
      <c r="B885" t="s">
        <v>1401</v>
      </c>
      <c r="C885" s="16" t="s">
        <v>1399</v>
      </c>
      <c r="D885" s="130" t="s">
        <v>406</v>
      </c>
      <c r="E885" s="131" t="s">
        <v>1499</v>
      </c>
      <c r="F885" s="131" t="s">
        <v>1500</v>
      </c>
      <c r="G885" s="132" t="s">
        <v>42</v>
      </c>
      <c r="H885" s="148">
        <v>80</v>
      </c>
      <c r="I885" s="148">
        <f t="shared" si="95"/>
        <v>80</v>
      </c>
      <c r="J885" s="149">
        <v>978</v>
      </c>
      <c r="K885" s="149">
        <f t="shared" si="94"/>
        <v>78240</v>
      </c>
      <c r="L885" s="149"/>
      <c r="M885" s="149"/>
      <c r="N885" s="149">
        <f t="shared" si="96"/>
        <v>78240</v>
      </c>
      <c r="O885" s="149"/>
      <c r="P885" s="153"/>
    </row>
    <row r="886" spans="1:16" s="1" customFormat="1" x14ac:dyDescent="0.2">
      <c r="A886" t="s">
        <v>1400</v>
      </c>
      <c r="B886" t="s">
        <v>1401</v>
      </c>
      <c r="C886" s="16" t="s">
        <v>1399</v>
      </c>
      <c r="D886" s="130" t="s">
        <v>413</v>
      </c>
      <c r="E886" s="131" t="s">
        <v>1501</v>
      </c>
      <c r="F886" s="131" t="s">
        <v>1502</v>
      </c>
      <c r="G886" s="132" t="s">
        <v>42</v>
      </c>
      <c r="H886" s="148">
        <v>80</v>
      </c>
      <c r="I886" s="148">
        <f t="shared" si="95"/>
        <v>80</v>
      </c>
      <c r="J886" s="149">
        <v>634</v>
      </c>
      <c r="K886" s="149">
        <f t="shared" si="94"/>
        <v>50720</v>
      </c>
      <c r="L886" s="149"/>
      <c r="M886" s="149"/>
      <c r="N886" s="149">
        <f t="shared" si="96"/>
        <v>50720</v>
      </c>
      <c r="O886" s="149"/>
      <c r="P886" s="153"/>
    </row>
    <row r="887" spans="1:16" s="1" customFormat="1" x14ac:dyDescent="0.2">
      <c r="A887" t="s">
        <v>1400</v>
      </c>
      <c r="B887" t="s">
        <v>1401</v>
      </c>
      <c r="C887" s="16" t="s">
        <v>1399</v>
      </c>
      <c r="D887" s="130" t="s">
        <v>423</v>
      </c>
      <c r="E887" s="131" t="s">
        <v>1503</v>
      </c>
      <c r="F887" s="131" t="s">
        <v>1504</v>
      </c>
      <c r="G887" s="132" t="s">
        <v>42</v>
      </c>
      <c r="H887" s="148">
        <v>260</v>
      </c>
      <c r="I887" s="148">
        <f t="shared" si="95"/>
        <v>260</v>
      </c>
      <c r="J887" s="149">
        <v>420</v>
      </c>
      <c r="K887" s="149">
        <f t="shared" si="94"/>
        <v>109200</v>
      </c>
      <c r="L887" s="149"/>
      <c r="M887" s="149"/>
      <c r="N887" s="149">
        <f t="shared" si="96"/>
        <v>109200</v>
      </c>
      <c r="O887" s="149"/>
      <c r="P887" s="153"/>
    </row>
    <row r="888" spans="1:16" s="1" customFormat="1" x14ac:dyDescent="0.2">
      <c r="A888" t="s">
        <v>1400</v>
      </c>
      <c r="B888" t="s">
        <v>1401</v>
      </c>
      <c r="C888" s="16" t="s">
        <v>1399</v>
      </c>
      <c r="D888" s="130" t="s">
        <v>429</v>
      </c>
      <c r="E888" s="131" t="s">
        <v>1505</v>
      </c>
      <c r="F888" s="131" t="s">
        <v>1506</v>
      </c>
      <c r="G888" s="132" t="s">
        <v>42</v>
      </c>
      <c r="H888" s="148">
        <v>2500</v>
      </c>
      <c r="I888" s="148">
        <f t="shared" si="95"/>
        <v>2500</v>
      </c>
      <c r="J888" s="149">
        <v>321</v>
      </c>
      <c r="K888" s="149">
        <f t="shared" si="94"/>
        <v>802500</v>
      </c>
      <c r="L888" s="149"/>
      <c r="M888" s="149"/>
      <c r="N888" s="149">
        <f t="shared" si="96"/>
        <v>802500</v>
      </c>
      <c r="O888" s="149"/>
      <c r="P888" s="153"/>
    </row>
    <row r="889" spans="1:16" s="1" customFormat="1" x14ac:dyDescent="0.2">
      <c r="A889" t="s">
        <v>1400</v>
      </c>
      <c r="B889" t="s">
        <v>1401</v>
      </c>
      <c r="C889" s="16" t="s">
        <v>1399</v>
      </c>
      <c r="D889" s="130" t="s">
        <v>432</v>
      </c>
      <c r="E889" s="131" t="s">
        <v>1507</v>
      </c>
      <c r="F889" s="131" t="s">
        <v>1508</v>
      </c>
      <c r="G889" s="132" t="s">
        <v>42</v>
      </c>
      <c r="H889" s="148">
        <v>3</v>
      </c>
      <c r="I889" s="148">
        <f t="shared" si="95"/>
        <v>3</v>
      </c>
      <c r="J889" s="149">
        <v>13554</v>
      </c>
      <c r="K889" s="149">
        <f t="shared" si="94"/>
        <v>40662</v>
      </c>
      <c r="L889" s="149"/>
      <c r="M889" s="149"/>
      <c r="N889" s="149">
        <f t="shared" si="96"/>
        <v>40662</v>
      </c>
      <c r="O889" s="149"/>
      <c r="P889" s="153"/>
    </row>
    <row r="890" spans="1:16" s="1" customFormat="1" x14ac:dyDescent="0.2">
      <c r="A890" t="s">
        <v>1400</v>
      </c>
      <c r="B890" t="s">
        <v>1401</v>
      </c>
      <c r="C890" s="16" t="s">
        <v>1399</v>
      </c>
      <c r="D890" s="130" t="s">
        <v>443</v>
      </c>
      <c r="E890" s="131" t="s">
        <v>1509</v>
      </c>
      <c r="F890" s="131" t="s">
        <v>1510</v>
      </c>
      <c r="G890" s="132" t="s">
        <v>42</v>
      </c>
      <c r="H890" s="148">
        <v>5</v>
      </c>
      <c r="I890" s="148">
        <f t="shared" si="95"/>
        <v>5</v>
      </c>
      <c r="J890" s="149">
        <v>8312</v>
      </c>
      <c r="K890" s="149">
        <f t="shared" si="94"/>
        <v>41560</v>
      </c>
      <c r="L890" s="149"/>
      <c r="M890" s="149"/>
      <c r="N890" s="149">
        <f t="shared" si="96"/>
        <v>41560</v>
      </c>
      <c r="O890" s="149"/>
      <c r="P890" s="153"/>
    </row>
    <row r="891" spans="1:16" s="1" customFormat="1" x14ac:dyDescent="0.2">
      <c r="A891" t="s">
        <v>1400</v>
      </c>
      <c r="B891" t="s">
        <v>1401</v>
      </c>
      <c r="C891" s="16" t="s">
        <v>1399</v>
      </c>
      <c r="D891" s="130" t="s">
        <v>450</v>
      </c>
      <c r="E891" s="131" t="s">
        <v>1511</v>
      </c>
      <c r="F891" s="131" t="s">
        <v>1512</v>
      </c>
      <c r="G891" s="132" t="s">
        <v>42</v>
      </c>
      <c r="H891" s="148">
        <v>10</v>
      </c>
      <c r="I891" s="148">
        <f t="shared" si="95"/>
        <v>10</v>
      </c>
      <c r="J891" s="149">
        <v>4545</v>
      </c>
      <c r="K891" s="149">
        <f t="shared" si="94"/>
        <v>45450</v>
      </c>
      <c r="L891" s="149"/>
      <c r="M891" s="149"/>
      <c r="N891" s="149">
        <f t="shared" si="96"/>
        <v>45450</v>
      </c>
      <c r="O891" s="149"/>
      <c r="P891" s="153"/>
    </row>
    <row r="892" spans="1:16" s="1" customFormat="1" x14ac:dyDescent="0.2">
      <c r="A892" t="s">
        <v>1400</v>
      </c>
      <c r="B892" t="s">
        <v>1401</v>
      </c>
      <c r="C892" s="16" t="s">
        <v>1399</v>
      </c>
      <c r="D892" s="130" t="s">
        <v>455</v>
      </c>
      <c r="E892" s="131" t="s">
        <v>1513</v>
      </c>
      <c r="F892" s="131" t="s">
        <v>1514</v>
      </c>
      <c r="G892" s="132" t="s">
        <v>42</v>
      </c>
      <c r="H892" s="148">
        <v>10</v>
      </c>
      <c r="I892" s="148">
        <f t="shared" si="95"/>
        <v>10</v>
      </c>
      <c r="J892" s="149">
        <v>2411</v>
      </c>
      <c r="K892" s="149">
        <f t="shared" si="94"/>
        <v>24110</v>
      </c>
      <c r="L892" s="149"/>
      <c r="M892" s="149"/>
      <c r="N892" s="149">
        <f t="shared" si="96"/>
        <v>24110</v>
      </c>
      <c r="O892" s="149"/>
      <c r="P892" s="153"/>
    </row>
    <row r="893" spans="1:16" s="1" customFormat="1" x14ac:dyDescent="0.2">
      <c r="A893" t="s">
        <v>1400</v>
      </c>
      <c r="B893" t="s">
        <v>1401</v>
      </c>
      <c r="C893" s="16" t="s">
        <v>1399</v>
      </c>
      <c r="D893" s="130" t="s">
        <v>467</v>
      </c>
      <c r="E893" s="131" t="s">
        <v>1515</v>
      </c>
      <c r="F893" s="131" t="s">
        <v>1516</v>
      </c>
      <c r="G893" s="132" t="s">
        <v>42</v>
      </c>
      <c r="H893" s="148">
        <v>32</v>
      </c>
      <c r="I893" s="148">
        <f t="shared" si="95"/>
        <v>32</v>
      </c>
      <c r="J893" s="149">
        <v>710</v>
      </c>
      <c r="K893" s="149">
        <f t="shared" si="94"/>
        <v>22720</v>
      </c>
      <c r="L893" s="149"/>
      <c r="M893" s="149"/>
      <c r="N893" s="149">
        <f t="shared" si="96"/>
        <v>22720</v>
      </c>
      <c r="O893" s="149"/>
      <c r="P893" s="153"/>
    </row>
    <row r="894" spans="1:16" s="1" customFormat="1" x14ac:dyDescent="0.2">
      <c r="A894" t="s">
        <v>1400</v>
      </c>
      <c r="B894" t="s">
        <v>1401</v>
      </c>
      <c r="C894" s="16" t="s">
        <v>1399</v>
      </c>
      <c r="D894" s="130" t="s">
        <v>487</v>
      </c>
      <c r="E894" s="131" t="s">
        <v>1517</v>
      </c>
      <c r="F894" s="131" t="s">
        <v>1518</v>
      </c>
      <c r="G894" s="132" t="s">
        <v>42</v>
      </c>
      <c r="H894" s="148">
        <v>322</v>
      </c>
      <c r="I894" s="148">
        <f t="shared" si="95"/>
        <v>322</v>
      </c>
      <c r="J894" s="149">
        <v>527</v>
      </c>
      <c r="K894" s="149">
        <f t="shared" si="94"/>
        <v>169694</v>
      </c>
      <c r="L894" s="149"/>
      <c r="M894" s="149"/>
      <c r="N894" s="149">
        <f t="shared" si="96"/>
        <v>169694</v>
      </c>
      <c r="O894" s="149"/>
      <c r="P894" s="153"/>
    </row>
    <row r="895" spans="1:16" s="1" customFormat="1" x14ac:dyDescent="0.2">
      <c r="A895" t="s">
        <v>1400</v>
      </c>
      <c r="B895" t="s">
        <v>1401</v>
      </c>
      <c r="C895" s="16" t="s">
        <v>1399</v>
      </c>
      <c r="D895" s="130" t="s">
        <v>496</v>
      </c>
      <c r="E895" s="131" t="s">
        <v>1519</v>
      </c>
      <c r="F895" s="131" t="s">
        <v>1520</v>
      </c>
      <c r="G895" s="132" t="s">
        <v>42</v>
      </c>
      <c r="H895" s="148">
        <v>36</v>
      </c>
      <c r="I895" s="148">
        <f t="shared" si="95"/>
        <v>36</v>
      </c>
      <c r="J895" s="149">
        <v>11902</v>
      </c>
      <c r="K895" s="149">
        <f t="shared" si="94"/>
        <v>428472</v>
      </c>
      <c r="L895" s="149"/>
      <c r="M895" s="149"/>
      <c r="N895" s="149">
        <f t="shared" si="96"/>
        <v>428472</v>
      </c>
      <c r="O895" s="149"/>
      <c r="P895" s="153"/>
    </row>
    <row r="896" spans="1:16" s="1" customFormat="1" x14ac:dyDescent="0.2">
      <c r="A896" t="s">
        <v>1400</v>
      </c>
      <c r="B896" t="s">
        <v>1401</v>
      </c>
      <c r="C896" s="16" t="s">
        <v>1399</v>
      </c>
      <c r="D896" s="130" t="s">
        <v>499</v>
      </c>
      <c r="E896" s="131" t="s">
        <v>1521</v>
      </c>
      <c r="F896" s="131" t="s">
        <v>1522</v>
      </c>
      <c r="G896" s="132" t="s">
        <v>42</v>
      </c>
      <c r="H896" s="148">
        <v>36</v>
      </c>
      <c r="I896" s="148">
        <f t="shared" si="95"/>
        <v>36</v>
      </c>
      <c r="J896" s="149">
        <v>11902</v>
      </c>
      <c r="K896" s="149">
        <f t="shared" si="94"/>
        <v>428472</v>
      </c>
      <c r="L896" s="149"/>
      <c r="M896" s="149"/>
      <c r="N896" s="149">
        <f t="shared" si="96"/>
        <v>428472</v>
      </c>
      <c r="O896" s="149"/>
      <c r="P896" s="153"/>
    </row>
    <row r="897" spans="1:17" s="1" customFormat="1" x14ac:dyDescent="0.2">
      <c r="A897" t="s">
        <v>1400</v>
      </c>
      <c r="B897" t="s">
        <v>1401</v>
      </c>
      <c r="C897" s="16" t="s">
        <v>1399</v>
      </c>
      <c r="D897" s="130" t="s">
        <v>501</v>
      </c>
      <c r="E897" s="131" t="s">
        <v>1523</v>
      </c>
      <c r="F897" s="131" t="s">
        <v>1524</v>
      </c>
      <c r="G897" s="132" t="s">
        <v>69</v>
      </c>
      <c r="H897" s="148">
        <v>12</v>
      </c>
      <c r="I897" s="148">
        <f t="shared" si="95"/>
        <v>12</v>
      </c>
      <c r="J897" s="149">
        <v>7000</v>
      </c>
      <c r="K897" s="149">
        <f t="shared" si="94"/>
        <v>84000</v>
      </c>
      <c r="L897" s="149"/>
      <c r="M897" s="149"/>
      <c r="N897" s="149">
        <f t="shared" si="96"/>
        <v>84000</v>
      </c>
      <c r="O897" s="149"/>
      <c r="P897" s="153"/>
    </row>
    <row r="898" spans="1:17" s="1" customFormat="1" x14ac:dyDescent="0.2">
      <c r="A898" t="s">
        <v>1400</v>
      </c>
      <c r="B898" t="s">
        <v>1401</v>
      </c>
      <c r="C898" s="16" t="s">
        <v>1399</v>
      </c>
      <c r="D898" s="130" t="s">
        <v>506</v>
      </c>
      <c r="E898" s="131" t="s">
        <v>1525</v>
      </c>
      <c r="F898" s="131" t="s">
        <v>1526</v>
      </c>
      <c r="G898" s="132" t="s">
        <v>69</v>
      </c>
      <c r="H898" s="148">
        <v>12</v>
      </c>
      <c r="I898" s="148">
        <f t="shared" si="95"/>
        <v>12</v>
      </c>
      <c r="J898" s="149">
        <v>6000</v>
      </c>
      <c r="K898" s="149">
        <f t="shared" si="94"/>
        <v>72000</v>
      </c>
      <c r="L898" s="149"/>
      <c r="M898" s="149"/>
      <c r="N898" s="149">
        <f t="shared" si="96"/>
        <v>72000</v>
      </c>
      <c r="O898" s="149"/>
      <c r="P898" s="153"/>
    </row>
    <row r="899" spans="1:17" s="1" customFormat="1" x14ac:dyDescent="0.2">
      <c r="A899" t="s">
        <v>1400</v>
      </c>
      <c r="B899" t="s">
        <v>1401</v>
      </c>
      <c r="C899" s="16" t="s">
        <v>1399</v>
      </c>
      <c r="D899" s="130" t="s">
        <v>509</v>
      </c>
      <c r="E899" s="131" t="s">
        <v>1527</v>
      </c>
      <c r="F899" s="131" t="s">
        <v>1528</v>
      </c>
      <c r="G899" s="132" t="s">
        <v>69</v>
      </c>
      <c r="H899" s="148">
        <v>100</v>
      </c>
      <c r="I899" s="148">
        <f t="shared" si="95"/>
        <v>100</v>
      </c>
      <c r="J899" s="149">
        <v>5500</v>
      </c>
      <c r="K899" s="149">
        <f t="shared" si="94"/>
        <v>550000</v>
      </c>
      <c r="L899" s="149"/>
      <c r="M899" s="149"/>
      <c r="N899" s="149">
        <f t="shared" si="96"/>
        <v>550000</v>
      </c>
      <c r="O899" s="149"/>
      <c r="P899" s="153"/>
    </row>
    <row r="900" spans="1:17" s="1" customFormat="1" x14ac:dyDescent="0.2">
      <c r="A900" t="s">
        <v>1400</v>
      </c>
      <c r="B900" t="s">
        <v>1401</v>
      </c>
      <c r="C900" s="16" t="s">
        <v>1399</v>
      </c>
      <c r="D900" s="130" t="s">
        <v>513</v>
      </c>
      <c r="E900" s="131" t="s">
        <v>1529</v>
      </c>
      <c r="F900" s="131" t="s">
        <v>1530</v>
      </c>
      <c r="G900" s="132" t="s">
        <v>69</v>
      </c>
      <c r="H900" s="148">
        <v>40</v>
      </c>
      <c r="I900" s="148">
        <f t="shared" si="95"/>
        <v>40</v>
      </c>
      <c r="J900" s="149">
        <v>5000</v>
      </c>
      <c r="K900" s="149">
        <f t="shared" si="94"/>
        <v>200000</v>
      </c>
      <c r="L900" s="149"/>
      <c r="M900" s="149"/>
      <c r="N900" s="149">
        <f t="shared" si="96"/>
        <v>200000</v>
      </c>
      <c r="O900" s="149"/>
      <c r="P900" s="153"/>
    </row>
    <row r="901" spans="1:17" s="1" customFormat="1" x14ac:dyDescent="0.2">
      <c r="A901" t="s">
        <v>1400</v>
      </c>
      <c r="B901" t="s">
        <v>1401</v>
      </c>
      <c r="C901" s="16" t="s">
        <v>1399</v>
      </c>
      <c r="D901" s="130" t="s">
        <v>532</v>
      </c>
      <c r="E901" s="131" t="s">
        <v>1531</v>
      </c>
      <c r="F901" s="131" t="s">
        <v>1532</v>
      </c>
      <c r="G901" s="132" t="s">
        <v>69</v>
      </c>
      <c r="H901" s="148">
        <v>40</v>
      </c>
      <c r="I901" s="148">
        <f t="shared" si="95"/>
        <v>40</v>
      </c>
      <c r="J901" s="149">
        <v>4500</v>
      </c>
      <c r="K901" s="149">
        <f t="shared" si="94"/>
        <v>180000</v>
      </c>
      <c r="L901" s="149"/>
      <c r="M901" s="149"/>
      <c r="N901" s="149">
        <f t="shared" si="96"/>
        <v>180000</v>
      </c>
      <c r="O901" s="149"/>
      <c r="P901" s="153"/>
    </row>
    <row r="902" spans="1:17" s="1" customFormat="1" x14ac:dyDescent="0.2">
      <c r="A902" t="s">
        <v>1400</v>
      </c>
      <c r="B902" t="s">
        <v>1401</v>
      </c>
      <c r="C902" s="16" t="s">
        <v>1399</v>
      </c>
      <c r="D902" s="130" t="s">
        <v>540</v>
      </c>
      <c r="E902" s="131" t="s">
        <v>1533</v>
      </c>
      <c r="F902" s="131" t="s">
        <v>1534</v>
      </c>
      <c r="G902" s="132" t="s">
        <v>69</v>
      </c>
      <c r="H902" s="148">
        <v>130</v>
      </c>
      <c r="I902" s="148">
        <f t="shared" si="95"/>
        <v>130</v>
      </c>
      <c r="J902" s="149">
        <v>3500</v>
      </c>
      <c r="K902" s="149">
        <f t="shared" si="94"/>
        <v>455000</v>
      </c>
      <c r="L902" s="149"/>
      <c r="M902" s="149"/>
      <c r="N902" s="149">
        <f t="shared" si="96"/>
        <v>455000</v>
      </c>
      <c r="O902" s="149"/>
      <c r="P902" s="153"/>
    </row>
    <row r="903" spans="1:17" s="1" customFormat="1" x14ac:dyDescent="0.2">
      <c r="A903" t="s">
        <v>1400</v>
      </c>
      <c r="B903" t="s">
        <v>1401</v>
      </c>
      <c r="C903" s="16" t="s">
        <v>1399</v>
      </c>
      <c r="D903" s="130" t="s">
        <v>547</v>
      </c>
      <c r="E903" s="131" t="s">
        <v>1533</v>
      </c>
      <c r="F903" s="131" t="s">
        <v>1535</v>
      </c>
      <c r="G903" s="132" t="s">
        <v>42</v>
      </c>
      <c r="H903" s="148">
        <v>4</v>
      </c>
      <c r="I903" s="148">
        <f t="shared" si="95"/>
        <v>4</v>
      </c>
      <c r="J903" s="149">
        <v>45000</v>
      </c>
      <c r="K903" s="149">
        <f t="shared" si="94"/>
        <v>180000</v>
      </c>
      <c r="L903" s="149"/>
      <c r="M903" s="149"/>
      <c r="N903" s="149">
        <f t="shared" si="96"/>
        <v>180000</v>
      </c>
      <c r="O903" s="149"/>
      <c r="P903" s="153"/>
    </row>
    <row r="904" spans="1:17" s="1" customFormat="1" ht="26.25" customHeight="1" x14ac:dyDescent="0.2">
      <c r="A904" t="s">
        <v>1400</v>
      </c>
      <c r="B904" t="s">
        <v>1401</v>
      </c>
      <c r="C904" s="12" t="s">
        <v>1397</v>
      </c>
      <c r="D904" s="130" t="s">
        <v>555</v>
      </c>
      <c r="E904" s="131" t="s">
        <v>1536</v>
      </c>
      <c r="F904" s="131" t="s">
        <v>1537</v>
      </c>
      <c r="G904" s="132" t="s">
        <v>1463</v>
      </c>
      <c r="H904" s="148">
        <v>36</v>
      </c>
      <c r="I904" s="148"/>
      <c r="J904" s="149"/>
      <c r="K904" s="149"/>
      <c r="L904" s="149"/>
      <c r="M904" s="149"/>
      <c r="N904" s="149"/>
      <c r="O904" s="149"/>
      <c r="P904" s="153"/>
      <c r="Q904" s="35"/>
    </row>
    <row r="905" spans="1:17" s="14" customFormat="1" x14ac:dyDescent="0.2">
      <c r="A905" t="s">
        <v>1400</v>
      </c>
      <c r="B905" t="s">
        <v>1401</v>
      </c>
      <c r="C905" s="14" t="s">
        <v>24</v>
      </c>
      <c r="D905" s="134" t="s">
        <v>556</v>
      </c>
      <c r="E905" s="135" t="s">
        <v>18</v>
      </c>
      <c r="F905" s="136" t="s">
        <v>23</v>
      </c>
      <c r="G905" s="135" t="s">
        <v>24</v>
      </c>
      <c r="H905" s="137">
        <v>0.41</v>
      </c>
      <c r="I905" s="137">
        <v>14.76</v>
      </c>
      <c r="J905" s="149">
        <v>22914.53</v>
      </c>
      <c r="K905" s="149">
        <f t="shared" ref="K905:K906" si="97">+J905*I905</f>
        <v>338218.46279999998</v>
      </c>
      <c r="L905" s="149">
        <f>+J905*I905</f>
        <v>338218.46279999998</v>
      </c>
      <c r="M905" s="149"/>
      <c r="N905" s="149"/>
      <c r="O905" s="149"/>
      <c r="P905" s="154"/>
    </row>
    <row r="906" spans="1:17" s="15" customFormat="1" x14ac:dyDescent="0.2">
      <c r="A906" t="s">
        <v>1400</v>
      </c>
      <c r="B906" t="s">
        <v>1401</v>
      </c>
      <c r="C906" s="15" t="s">
        <v>28</v>
      </c>
      <c r="D906" s="138" t="s">
        <v>557</v>
      </c>
      <c r="E906" s="139" t="s">
        <v>30</v>
      </c>
      <c r="F906" s="140" t="s">
        <v>31</v>
      </c>
      <c r="G906" s="139" t="s">
        <v>28</v>
      </c>
      <c r="H906" s="141">
        <v>0.01</v>
      </c>
      <c r="I906" s="141">
        <v>0.36</v>
      </c>
      <c r="J906" s="149">
        <v>106655</v>
      </c>
      <c r="K906" s="149">
        <f t="shared" si="97"/>
        <v>38395.799999999996</v>
      </c>
      <c r="L906" s="149"/>
      <c r="M906" s="149">
        <f>+J906*I906</f>
        <v>38395.799999999996</v>
      </c>
      <c r="N906" s="149"/>
      <c r="O906" s="149"/>
      <c r="P906" s="155"/>
    </row>
    <row r="907" spans="1:17" s="1" customFormat="1" x14ac:dyDescent="0.2">
      <c r="A907" t="s">
        <v>1400</v>
      </c>
      <c r="B907" t="s">
        <v>1401</v>
      </c>
      <c r="C907" s="1" t="s">
        <v>1443</v>
      </c>
      <c r="D907" s="130" t="s">
        <v>558</v>
      </c>
      <c r="E907" s="131" t="s">
        <v>1464</v>
      </c>
      <c r="F907" s="131" t="s">
        <v>1538</v>
      </c>
      <c r="G907" s="132" t="s">
        <v>42</v>
      </c>
      <c r="H907" s="148">
        <v>36</v>
      </c>
      <c r="I907" s="148">
        <f>+H907</f>
        <v>36</v>
      </c>
      <c r="J907" s="149">
        <v>150000</v>
      </c>
      <c r="K907" s="149">
        <f>+J907*I907</f>
        <v>5400000</v>
      </c>
      <c r="L907" s="149"/>
      <c r="M907" s="149"/>
      <c r="N907" s="149"/>
      <c r="O907" s="157"/>
      <c r="P907" s="167">
        <f>+J907*I907</f>
        <v>5400000</v>
      </c>
    </row>
    <row r="908" spans="1:17" s="1" customFormat="1" x14ac:dyDescent="0.2">
      <c r="A908" t="s">
        <v>1400</v>
      </c>
      <c r="B908" t="s">
        <v>1401</v>
      </c>
      <c r="C908" s="12" t="s">
        <v>1397</v>
      </c>
      <c r="D908" s="130" t="s">
        <v>561</v>
      </c>
      <c r="E908" s="131" t="s">
        <v>1539</v>
      </c>
      <c r="F908" s="131" t="s">
        <v>1540</v>
      </c>
      <c r="G908" s="132" t="s">
        <v>660</v>
      </c>
      <c r="H908" s="133">
        <v>3.6</v>
      </c>
      <c r="I908" s="133"/>
      <c r="J908" s="149"/>
      <c r="K908" s="149"/>
      <c r="L908" s="149"/>
      <c r="M908" s="149"/>
      <c r="N908" s="149"/>
      <c r="O908" s="149"/>
      <c r="P908" s="153"/>
      <c r="Q908" s="35"/>
    </row>
    <row r="909" spans="1:17" s="14" customFormat="1" x14ac:dyDescent="0.2">
      <c r="A909" t="s">
        <v>1400</v>
      </c>
      <c r="B909" t="s">
        <v>1401</v>
      </c>
      <c r="C909" s="14" t="s">
        <v>24</v>
      </c>
      <c r="D909" s="134" t="s">
        <v>562</v>
      </c>
      <c r="E909" s="135" t="s">
        <v>18</v>
      </c>
      <c r="F909" s="136" t="s">
        <v>23</v>
      </c>
      <c r="G909" s="135" t="s">
        <v>24</v>
      </c>
      <c r="H909" s="137">
        <v>8.18</v>
      </c>
      <c r="I909" s="137">
        <v>29.448</v>
      </c>
      <c r="J909" s="149">
        <v>22914.53</v>
      </c>
      <c r="K909" s="149">
        <f t="shared" ref="K909:K914" si="98">+J909*I909</f>
        <v>674787.07944</v>
      </c>
      <c r="L909" s="149">
        <f>+J909*I909</f>
        <v>674787.07944</v>
      </c>
      <c r="M909" s="149"/>
      <c r="N909" s="149"/>
      <c r="O909" s="149"/>
      <c r="P909" s="154"/>
    </row>
    <row r="910" spans="1:17" s="15" customFormat="1" x14ac:dyDescent="0.2">
      <c r="A910" t="s">
        <v>1400</v>
      </c>
      <c r="B910" t="s">
        <v>1401</v>
      </c>
      <c r="C910" s="15" t="s">
        <v>28</v>
      </c>
      <c r="D910" s="138" t="s">
        <v>563</v>
      </c>
      <c r="E910" s="139" t="s">
        <v>98</v>
      </c>
      <c r="F910" s="140" t="s">
        <v>99</v>
      </c>
      <c r="G910" s="139" t="s">
        <v>28</v>
      </c>
      <c r="H910" s="141">
        <v>2.78</v>
      </c>
      <c r="I910" s="141">
        <v>10.007999999999999</v>
      </c>
      <c r="J910" s="149">
        <v>6858</v>
      </c>
      <c r="K910" s="149">
        <f t="shared" si="98"/>
        <v>68634.863999999987</v>
      </c>
      <c r="L910" s="149"/>
      <c r="M910" s="149">
        <f t="shared" ref="M910:M911" si="99">+J910*I910</f>
        <v>68634.863999999987</v>
      </c>
      <c r="N910" s="149"/>
      <c r="O910" s="149"/>
      <c r="P910" s="155"/>
    </row>
    <row r="911" spans="1:17" s="15" customFormat="1" x14ac:dyDescent="0.2">
      <c r="A911" t="s">
        <v>1400</v>
      </c>
      <c r="B911" t="s">
        <v>1401</v>
      </c>
      <c r="C911" s="15" t="s">
        <v>28</v>
      </c>
      <c r="D911" s="138" t="s">
        <v>564</v>
      </c>
      <c r="E911" s="139" t="s">
        <v>30</v>
      </c>
      <c r="F911" s="140" t="s">
        <v>31</v>
      </c>
      <c r="G911" s="139" t="s">
        <v>28</v>
      </c>
      <c r="H911" s="141">
        <v>0.35</v>
      </c>
      <c r="I911" s="141">
        <v>1.26</v>
      </c>
      <c r="J911" s="149">
        <v>106655</v>
      </c>
      <c r="K911" s="149">
        <f t="shared" si="98"/>
        <v>134385.29999999999</v>
      </c>
      <c r="L911" s="149"/>
      <c r="M911" s="149">
        <f t="shared" si="99"/>
        <v>134385.29999999999</v>
      </c>
      <c r="N911" s="149"/>
      <c r="O911" s="149"/>
      <c r="P911" s="155"/>
    </row>
    <row r="912" spans="1:17" s="16" customFormat="1" x14ac:dyDescent="0.2">
      <c r="A912" t="s">
        <v>1400</v>
      </c>
      <c r="B912" t="s">
        <v>1401</v>
      </c>
      <c r="C912" s="16" t="s">
        <v>1399</v>
      </c>
      <c r="D912" s="142" t="s">
        <v>565</v>
      </c>
      <c r="E912" s="143" t="s">
        <v>1447</v>
      </c>
      <c r="F912" s="144" t="s">
        <v>1448</v>
      </c>
      <c r="G912" s="143" t="s">
        <v>107</v>
      </c>
      <c r="H912" s="146">
        <v>6.9999999999999999E-4</v>
      </c>
      <c r="I912" s="146">
        <v>2.5200000000000001E-3</v>
      </c>
      <c r="J912" s="149">
        <v>11250000</v>
      </c>
      <c r="K912" s="149">
        <f t="shared" si="98"/>
        <v>28350</v>
      </c>
      <c r="L912" s="149"/>
      <c r="M912" s="149"/>
      <c r="N912" s="149">
        <f t="shared" ref="N912" si="100">+J912*I912</f>
        <v>28350</v>
      </c>
      <c r="O912" s="149"/>
      <c r="P912" s="156"/>
    </row>
    <row r="913" spans="1:17" s="1" customFormat="1" x14ac:dyDescent="0.2">
      <c r="A913" t="s">
        <v>1400</v>
      </c>
      <c r="B913" t="s">
        <v>1401</v>
      </c>
      <c r="C913" s="1" t="s">
        <v>1443</v>
      </c>
      <c r="D913" s="130" t="s">
        <v>569</v>
      </c>
      <c r="E913" s="131" t="s">
        <v>1541</v>
      </c>
      <c r="F913" s="131" t="s">
        <v>1542</v>
      </c>
      <c r="G913" s="132" t="s">
        <v>42</v>
      </c>
      <c r="H913" s="148">
        <v>36</v>
      </c>
      <c r="I913" s="148">
        <f t="shared" ref="I913:I914" si="101">+H913</f>
        <v>36</v>
      </c>
      <c r="J913" s="149">
        <v>11407</v>
      </c>
      <c r="K913" s="149">
        <f t="shared" si="98"/>
        <v>410652</v>
      </c>
      <c r="L913" s="149"/>
      <c r="M913" s="149"/>
      <c r="N913" s="149"/>
      <c r="O913" s="157"/>
      <c r="P913" s="167">
        <f>+J913*I913</f>
        <v>410652</v>
      </c>
    </row>
    <row r="914" spans="1:17" s="1" customFormat="1" ht="38.25" x14ac:dyDescent="0.2">
      <c r="A914" t="s">
        <v>1400</v>
      </c>
      <c r="B914" t="s">
        <v>1401</v>
      </c>
      <c r="C914" s="1" t="s">
        <v>1443</v>
      </c>
      <c r="D914" s="130" t="s">
        <v>577</v>
      </c>
      <c r="E914" s="131" t="s">
        <v>1541</v>
      </c>
      <c r="F914" s="131" t="s">
        <v>1543</v>
      </c>
      <c r="G914" s="132" t="s">
        <v>42</v>
      </c>
      <c r="H914" s="148">
        <v>1</v>
      </c>
      <c r="I914" s="148">
        <f t="shared" si="101"/>
        <v>1</v>
      </c>
      <c r="J914" s="149">
        <v>8392857.1428571418</v>
      </c>
      <c r="K914" s="149">
        <f t="shared" si="98"/>
        <v>8392857.1428571418</v>
      </c>
      <c r="L914" s="149"/>
      <c r="M914" s="149"/>
      <c r="N914" s="149"/>
      <c r="O914" s="157"/>
      <c r="P914" s="167">
        <f>+J914*I914</f>
        <v>8392857.1428571418</v>
      </c>
    </row>
    <row r="915" spans="1:17" ht="15.75" x14ac:dyDescent="0.25">
      <c r="A915" t="s">
        <v>1400</v>
      </c>
      <c r="B915" t="s">
        <v>1401</v>
      </c>
      <c r="D915" s="151" t="s">
        <v>1544</v>
      </c>
      <c r="E915" s="128"/>
      <c r="F915" s="128"/>
      <c r="G915" s="128"/>
      <c r="H915" s="128"/>
      <c r="I915" s="128"/>
      <c r="J915" s="149"/>
      <c r="K915" s="149"/>
      <c r="L915" s="149"/>
      <c r="M915" s="149"/>
      <c r="N915" s="149"/>
      <c r="O915" s="149"/>
      <c r="P915" s="152"/>
    </row>
    <row r="916" spans="1:17" s="1" customFormat="1" ht="38.25" x14ac:dyDescent="0.2">
      <c r="A916" t="s">
        <v>1400</v>
      </c>
      <c r="B916" t="s">
        <v>1401</v>
      </c>
      <c r="C916" s="12" t="s">
        <v>1397</v>
      </c>
      <c r="D916" s="130" t="s">
        <v>584</v>
      </c>
      <c r="E916" s="131" t="s">
        <v>1545</v>
      </c>
      <c r="F916" s="131" t="s">
        <v>1546</v>
      </c>
      <c r="G916" s="132" t="s">
        <v>42</v>
      </c>
      <c r="H916" s="148">
        <v>36</v>
      </c>
      <c r="I916" s="148"/>
      <c r="J916" s="149"/>
      <c r="K916" s="149"/>
      <c r="L916" s="149"/>
      <c r="M916" s="149"/>
      <c r="N916" s="149"/>
      <c r="O916" s="149"/>
      <c r="P916" s="153"/>
      <c r="Q916" s="35"/>
    </row>
    <row r="917" spans="1:17" s="14" customFormat="1" x14ac:dyDescent="0.2">
      <c r="A917" t="s">
        <v>1400</v>
      </c>
      <c r="B917" t="s">
        <v>1401</v>
      </c>
      <c r="C917" s="14" t="s">
        <v>24</v>
      </c>
      <c r="D917" s="134" t="s">
        <v>585</v>
      </c>
      <c r="E917" s="135" t="s">
        <v>18</v>
      </c>
      <c r="F917" s="136" t="s">
        <v>23</v>
      </c>
      <c r="G917" s="135" t="s">
        <v>24</v>
      </c>
      <c r="H917" s="137">
        <v>0.82</v>
      </c>
      <c r="I917" s="137">
        <v>29.52</v>
      </c>
      <c r="J917" s="149">
        <v>22914.53</v>
      </c>
      <c r="K917" s="149">
        <f t="shared" ref="K917:K920" si="102">+J917*I917</f>
        <v>676436.92559999996</v>
      </c>
      <c r="L917" s="149">
        <f>+J917*I917</f>
        <v>676436.92559999996</v>
      </c>
      <c r="M917" s="149"/>
      <c r="N917" s="149"/>
      <c r="O917" s="149"/>
      <c r="P917" s="154"/>
    </row>
    <row r="918" spans="1:17" s="15" customFormat="1" x14ac:dyDescent="0.2">
      <c r="A918" t="s">
        <v>1400</v>
      </c>
      <c r="B918" t="s">
        <v>1401</v>
      </c>
      <c r="C918" s="15" t="s">
        <v>28</v>
      </c>
      <c r="D918" s="138" t="s">
        <v>586</v>
      </c>
      <c r="E918" s="139" t="s">
        <v>213</v>
      </c>
      <c r="F918" s="140" t="s">
        <v>214</v>
      </c>
      <c r="G918" s="139" t="s">
        <v>28</v>
      </c>
      <c r="H918" s="141">
        <v>0.26</v>
      </c>
      <c r="I918" s="141">
        <v>9.36</v>
      </c>
      <c r="J918" s="149">
        <v>1399</v>
      </c>
      <c r="K918" s="149">
        <f t="shared" si="102"/>
        <v>13094.64</v>
      </c>
      <c r="L918" s="149"/>
      <c r="M918" s="149">
        <f t="shared" ref="M918:M919" si="103">+J918*I918</f>
        <v>13094.64</v>
      </c>
      <c r="N918" s="149"/>
      <c r="O918" s="149"/>
      <c r="P918" s="155"/>
    </row>
    <row r="919" spans="1:17" s="15" customFormat="1" x14ac:dyDescent="0.2">
      <c r="A919" t="s">
        <v>1400</v>
      </c>
      <c r="B919" t="s">
        <v>1401</v>
      </c>
      <c r="C919" s="15" t="s">
        <v>28</v>
      </c>
      <c r="D919" s="138" t="s">
        <v>1547</v>
      </c>
      <c r="E919" s="139" t="s">
        <v>1548</v>
      </c>
      <c r="F919" s="140" t="s">
        <v>1549</v>
      </c>
      <c r="G919" s="139" t="s">
        <v>28</v>
      </c>
      <c r="H919" s="141">
        <v>0.01</v>
      </c>
      <c r="I919" s="141">
        <v>0.36</v>
      </c>
      <c r="J919" s="149">
        <v>138958</v>
      </c>
      <c r="K919" s="149">
        <f t="shared" si="102"/>
        <v>50024.88</v>
      </c>
      <c r="L919" s="149"/>
      <c r="M919" s="149">
        <f t="shared" si="103"/>
        <v>50024.88</v>
      </c>
      <c r="N919" s="149"/>
      <c r="O919" s="149"/>
      <c r="P919" s="155"/>
    </row>
    <row r="920" spans="1:17" s="16" customFormat="1" x14ac:dyDescent="0.2">
      <c r="A920" t="s">
        <v>1400</v>
      </c>
      <c r="B920" t="s">
        <v>1401</v>
      </c>
      <c r="C920" s="16" t="s">
        <v>1399</v>
      </c>
      <c r="D920" s="142" t="s">
        <v>1550</v>
      </c>
      <c r="E920" s="143" t="s">
        <v>1551</v>
      </c>
      <c r="F920" s="144" t="s">
        <v>1552</v>
      </c>
      <c r="G920" s="143" t="s">
        <v>42</v>
      </c>
      <c r="H920" s="145">
        <v>4</v>
      </c>
      <c r="I920" s="145">
        <v>144</v>
      </c>
      <c r="J920" s="149">
        <v>150</v>
      </c>
      <c r="K920" s="149">
        <f t="shared" si="102"/>
        <v>21600</v>
      </c>
      <c r="L920" s="149"/>
      <c r="M920" s="149"/>
      <c r="N920" s="149">
        <f t="shared" ref="N920" si="104">+J920*I920</f>
        <v>21600</v>
      </c>
      <c r="O920" s="149"/>
      <c r="P920" s="156"/>
    </row>
    <row r="921" spans="1:17" s="1" customFormat="1" x14ac:dyDescent="0.2">
      <c r="A921" t="s">
        <v>1400</v>
      </c>
      <c r="B921" t="s">
        <v>1401</v>
      </c>
      <c r="C921" s="1" t="s">
        <v>1443</v>
      </c>
      <c r="D921" s="130" t="s">
        <v>587</v>
      </c>
      <c r="E921" s="131" t="s">
        <v>1553</v>
      </c>
      <c r="F921" s="131" t="s">
        <v>1554</v>
      </c>
      <c r="G921" s="132" t="s">
        <v>42</v>
      </c>
      <c r="H921" s="148">
        <v>36</v>
      </c>
      <c r="I921" s="148">
        <f>+H921</f>
        <v>36</v>
      </c>
      <c r="J921" s="149">
        <v>1050000</v>
      </c>
      <c r="K921" s="149">
        <f>+J921*I921</f>
        <v>37800000</v>
      </c>
      <c r="L921" s="149"/>
      <c r="M921" s="149"/>
      <c r="N921" s="149"/>
      <c r="O921" s="157"/>
      <c r="P921" s="167">
        <f>+J921*I921</f>
        <v>37800000</v>
      </c>
    </row>
    <row r="922" spans="1:17" s="1" customFormat="1" ht="38.25" x14ac:dyDescent="0.2">
      <c r="A922" t="s">
        <v>1400</v>
      </c>
      <c r="B922" t="s">
        <v>1401</v>
      </c>
      <c r="C922" s="12" t="s">
        <v>1397</v>
      </c>
      <c r="D922" s="130" t="s">
        <v>595</v>
      </c>
      <c r="E922" s="131" t="s">
        <v>1555</v>
      </c>
      <c r="F922" s="131" t="s">
        <v>1556</v>
      </c>
      <c r="G922" s="132" t="s">
        <v>42</v>
      </c>
      <c r="H922" s="148">
        <v>12</v>
      </c>
      <c r="I922" s="148"/>
      <c r="J922" s="149"/>
      <c r="K922" s="149"/>
      <c r="L922" s="149"/>
      <c r="M922" s="149"/>
      <c r="N922" s="149"/>
      <c r="O922" s="149"/>
      <c r="P922" s="153"/>
      <c r="Q922" s="35"/>
    </row>
    <row r="923" spans="1:17" s="14" customFormat="1" x14ac:dyDescent="0.2">
      <c r="A923" t="s">
        <v>1400</v>
      </c>
      <c r="B923" t="s">
        <v>1401</v>
      </c>
      <c r="C923" s="14" t="s">
        <v>24</v>
      </c>
      <c r="D923" s="134" t="s">
        <v>596</v>
      </c>
      <c r="E923" s="135" t="s">
        <v>18</v>
      </c>
      <c r="F923" s="136" t="s">
        <v>23</v>
      </c>
      <c r="G923" s="135" t="s">
        <v>24</v>
      </c>
      <c r="H923" s="137">
        <v>2.2200000000000002</v>
      </c>
      <c r="I923" s="137">
        <v>26.64</v>
      </c>
      <c r="J923" s="149">
        <v>22914.53</v>
      </c>
      <c r="K923" s="149">
        <f t="shared" ref="K923:K928" si="105">+J923*I923</f>
        <v>610443.07920000004</v>
      </c>
      <c r="L923" s="149">
        <f>+J923*I923</f>
        <v>610443.07920000004</v>
      </c>
      <c r="M923" s="149"/>
      <c r="N923" s="149"/>
      <c r="O923" s="149"/>
      <c r="P923" s="154"/>
    </row>
    <row r="924" spans="1:17" s="15" customFormat="1" x14ac:dyDescent="0.2">
      <c r="A924" t="s">
        <v>1400</v>
      </c>
      <c r="B924" t="s">
        <v>1401</v>
      </c>
      <c r="C924" s="15" t="s">
        <v>28</v>
      </c>
      <c r="D924" s="138" t="s">
        <v>597</v>
      </c>
      <c r="E924" s="139" t="s">
        <v>213</v>
      </c>
      <c r="F924" s="140" t="s">
        <v>214</v>
      </c>
      <c r="G924" s="139" t="s">
        <v>28</v>
      </c>
      <c r="H924" s="141">
        <v>0.26</v>
      </c>
      <c r="I924" s="141">
        <v>3.12</v>
      </c>
      <c r="J924" s="149">
        <v>1399</v>
      </c>
      <c r="K924" s="149">
        <f t="shared" si="105"/>
        <v>4364.88</v>
      </c>
      <c r="L924" s="149"/>
      <c r="M924" s="149">
        <f t="shared" ref="M924:M925" si="106">+J924*I924</f>
        <v>4364.88</v>
      </c>
      <c r="N924" s="149"/>
      <c r="O924" s="149"/>
      <c r="P924" s="155"/>
    </row>
    <row r="925" spans="1:17" s="15" customFormat="1" x14ac:dyDescent="0.2">
      <c r="A925" t="s">
        <v>1400</v>
      </c>
      <c r="B925" t="s">
        <v>1401</v>
      </c>
      <c r="C925" s="15" t="s">
        <v>28</v>
      </c>
      <c r="D925" s="138" t="s">
        <v>598</v>
      </c>
      <c r="E925" s="139" t="s">
        <v>1548</v>
      </c>
      <c r="F925" s="140" t="s">
        <v>1549</v>
      </c>
      <c r="G925" s="139" t="s">
        <v>28</v>
      </c>
      <c r="H925" s="141">
        <v>0.01</v>
      </c>
      <c r="I925" s="141">
        <v>0.12</v>
      </c>
      <c r="J925" s="149">
        <v>138958</v>
      </c>
      <c r="K925" s="149">
        <f t="shared" si="105"/>
        <v>16674.96</v>
      </c>
      <c r="L925" s="149"/>
      <c r="M925" s="149">
        <f t="shared" si="106"/>
        <v>16674.96</v>
      </c>
      <c r="N925" s="149"/>
      <c r="O925" s="149"/>
      <c r="P925" s="155"/>
    </row>
    <row r="926" spans="1:17" s="16" customFormat="1" x14ac:dyDescent="0.2">
      <c r="A926" t="s">
        <v>1400</v>
      </c>
      <c r="B926" t="s">
        <v>1401</v>
      </c>
      <c r="C926" s="16" t="s">
        <v>1399</v>
      </c>
      <c r="D926" s="142" t="s">
        <v>1557</v>
      </c>
      <c r="E926" s="143" t="s">
        <v>1551</v>
      </c>
      <c r="F926" s="144" t="s">
        <v>1552</v>
      </c>
      <c r="G926" s="143" t="s">
        <v>42</v>
      </c>
      <c r="H926" s="145">
        <v>4</v>
      </c>
      <c r="I926" s="145">
        <v>48</v>
      </c>
      <c r="J926" s="149">
        <v>150</v>
      </c>
      <c r="K926" s="149">
        <f t="shared" si="105"/>
        <v>7200</v>
      </c>
      <c r="L926" s="149"/>
      <c r="M926" s="149"/>
      <c r="N926" s="149">
        <f t="shared" ref="N926" si="107">+J926*I926</f>
        <v>7200</v>
      </c>
      <c r="O926" s="149"/>
      <c r="P926" s="156"/>
    </row>
    <row r="927" spans="1:17" s="1" customFormat="1" x14ac:dyDescent="0.2">
      <c r="A927" t="s">
        <v>1400</v>
      </c>
      <c r="B927" t="s">
        <v>1401</v>
      </c>
      <c r="C927" s="1" t="s">
        <v>1443</v>
      </c>
      <c r="D927" s="130" t="s">
        <v>599</v>
      </c>
      <c r="E927" s="131" t="s">
        <v>1558</v>
      </c>
      <c r="F927" s="131" t="s">
        <v>1559</v>
      </c>
      <c r="G927" s="132" t="s">
        <v>1560</v>
      </c>
      <c r="H927" s="148">
        <v>12</v>
      </c>
      <c r="I927" s="148">
        <f t="shared" ref="I927:I928" si="108">+H927</f>
        <v>12</v>
      </c>
      <c r="J927" s="149">
        <v>3303571</v>
      </c>
      <c r="K927" s="149">
        <f t="shared" si="105"/>
        <v>39642852</v>
      </c>
      <c r="L927" s="149"/>
      <c r="M927" s="149"/>
      <c r="N927" s="149"/>
      <c r="O927" s="157"/>
      <c r="P927" s="167">
        <f t="shared" ref="P927:P928" si="109">+J927*I927</f>
        <v>39642852</v>
      </c>
    </row>
    <row r="928" spans="1:17" s="1" customFormat="1" x14ac:dyDescent="0.2">
      <c r="A928" t="s">
        <v>1400</v>
      </c>
      <c r="B928" t="s">
        <v>1401</v>
      </c>
      <c r="C928" s="1" t="s">
        <v>1443</v>
      </c>
      <c r="D928" s="130" t="s">
        <v>604</v>
      </c>
      <c r="E928" s="131" t="s">
        <v>1561</v>
      </c>
      <c r="F928" s="131" t="s">
        <v>1562</v>
      </c>
      <c r="G928" s="132" t="s">
        <v>1560</v>
      </c>
      <c r="H928" s="148">
        <v>12</v>
      </c>
      <c r="I928" s="148">
        <f t="shared" si="108"/>
        <v>12</v>
      </c>
      <c r="J928" s="149">
        <v>178571.42857142855</v>
      </c>
      <c r="K928" s="149">
        <f t="shared" si="105"/>
        <v>2142857.1428571427</v>
      </c>
      <c r="L928" s="149"/>
      <c r="M928" s="149"/>
      <c r="N928" s="149"/>
      <c r="O928" s="157"/>
      <c r="P928" s="167">
        <f t="shared" si="109"/>
        <v>2142857.1428571427</v>
      </c>
    </row>
    <row r="929" spans="1:17" s="1" customFormat="1" ht="51" x14ac:dyDescent="0.2">
      <c r="A929" t="s">
        <v>1400</v>
      </c>
      <c r="B929" t="s">
        <v>1401</v>
      </c>
      <c r="C929" s="12" t="s">
        <v>1397</v>
      </c>
      <c r="D929" s="130" t="s">
        <v>607</v>
      </c>
      <c r="E929" s="131" t="s">
        <v>1418</v>
      </c>
      <c r="F929" s="131" t="s">
        <v>1419</v>
      </c>
      <c r="G929" s="132" t="s">
        <v>1405</v>
      </c>
      <c r="H929" s="133">
        <v>1.1000000000000001</v>
      </c>
      <c r="I929" s="133"/>
      <c r="J929" s="149"/>
      <c r="K929" s="149"/>
      <c r="L929" s="149"/>
      <c r="M929" s="149"/>
      <c r="N929" s="149"/>
      <c r="O929" s="149"/>
      <c r="P929" s="153"/>
      <c r="Q929" s="35"/>
    </row>
    <row r="930" spans="1:17" s="14" customFormat="1" x14ac:dyDescent="0.2">
      <c r="A930" t="s">
        <v>1400</v>
      </c>
      <c r="B930" t="s">
        <v>1401</v>
      </c>
      <c r="C930" s="14" t="s">
        <v>24</v>
      </c>
      <c r="D930" s="134" t="s">
        <v>608</v>
      </c>
      <c r="E930" s="135" t="s">
        <v>18</v>
      </c>
      <c r="F930" s="136" t="s">
        <v>23</v>
      </c>
      <c r="G930" s="135" t="s">
        <v>24</v>
      </c>
      <c r="H930" s="137">
        <v>141.52000000000001</v>
      </c>
      <c r="I930" s="137">
        <v>155.672</v>
      </c>
      <c r="J930" s="149">
        <v>22914.53</v>
      </c>
      <c r="K930" s="149">
        <f t="shared" ref="K930:K934" si="110">+J930*I930</f>
        <v>3567150.71416</v>
      </c>
      <c r="L930" s="149">
        <f>+J930*I930</f>
        <v>3567150.71416</v>
      </c>
      <c r="M930" s="149"/>
      <c r="N930" s="149"/>
      <c r="O930" s="149"/>
      <c r="P930" s="154"/>
    </row>
    <row r="931" spans="1:17" s="15" customFormat="1" x14ac:dyDescent="0.2">
      <c r="A931" t="s">
        <v>1400</v>
      </c>
      <c r="B931" t="s">
        <v>1401</v>
      </c>
      <c r="C931" s="15" t="s">
        <v>28</v>
      </c>
      <c r="D931" s="138" t="s">
        <v>609</v>
      </c>
      <c r="E931" s="139" t="s">
        <v>30</v>
      </c>
      <c r="F931" s="140" t="s">
        <v>31</v>
      </c>
      <c r="G931" s="139" t="s">
        <v>28</v>
      </c>
      <c r="H931" s="141">
        <v>0.34</v>
      </c>
      <c r="I931" s="141">
        <v>0.374</v>
      </c>
      <c r="J931" s="149">
        <v>106655</v>
      </c>
      <c r="K931" s="149">
        <f t="shared" si="110"/>
        <v>39888.97</v>
      </c>
      <c r="L931" s="149"/>
      <c r="M931" s="149">
        <f t="shared" ref="M931:M933" si="111">+J931*I931</f>
        <v>39888.97</v>
      </c>
      <c r="N931" s="149"/>
      <c r="O931" s="149"/>
      <c r="P931" s="155"/>
    </row>
    <row r="932" spans="1:17" s="15" customFormat="1" x14ac:dyDescent="0.2">
      <c r="A932" t="s">
        <v>1400</v>
      </c>
      <c r="B932" t="s">
        <v>1401</v>
      </c>
      <c r="C932" s="15" t="s">
        <v>28</v>
      </c>
      <c r="D932" s="138" t="s">
        <v>1563</v>
      </c>
      <c r="E932" s="139" t="s">
        <v>33</v>
      </c>
      <c r="F932" s="140" t="s">
        <v>34</v>
      </c>
      <c r="G932" s="139" t="s">
        <v>28</v>
      </c>
      <c r="H932" s="141">
        <v>5.92</v>
      </c>
      <c r="I932" s="141">
        <v>6.5119999999999996</v>
      </c>
      <c r="J932" s="149">
        <v>1732</v>
      </c>
      <c r="K932" s="149">
        <f t="shared" si="110"/>
        <v>11278.784</v>
      </c>
      <c r="L932" s="149"/>
      <c r="M932" s="149">
        <f t="shared" si="111"/>
        <v>11278.784</v>
      </c>
      <c r="N932" s="149"/>
      <c r="O932" s="149"/>
      <c r="P932" s="155"/>
    </row>
    <row r="933" spans="1:17" s="15" customFormat="1" x14ac:dyDescent="0.2">
      <c r="A933" t="s">
        <v>1400</v>
      </c>
      <c r="B933" t="s">
        <v>1401</v>
      </c>
      <c r="C933" s="15" t="s">
        <v>28</v>
      </c>
      <c r="D933" s="138" t="s">
        <v>1564</v>
      </c>
      <c r="E933" s="139" t="s">
        <v>1414</v>
      </c>
      <c r="F933" s="140" t="s">
        <v>1415</v>
      </c>
      <c r="G933" s="139" t="s">
        <v>28</v>
      </c>
      <c r="H933" s="141">
        <v>13.34</v>
      </c>
      <c r="I933" s="141">
        <v>14.673999999999999</v>
      </c>
      <c r="J933" s="149">
        <v>16041</v>
      </c>
      <c r="K933" s="149">
        <f t="shared" si="110"/>
        <v>235385.63399999999</v>
      </c>
      <c r="L933" s="149"/>
      <c r="M933" s="149">
        <f t="shared" si="111"/>
        <v>235385.63399999999</v>
      </c>
      <c r="N933" s="149"/>
      <c r="O933" s="149"/>
      <c r="P933" s="155"/>
    </row>
    <row r="934" spans="1:17" s="16" customFormat="1" x14ac:dyDescent="0.2">
      <c r="A934" t="s">
        <v>1400</v>
      </c>
      <c r="B934" t="s">
        <v>1401</v>
      </c>
      <c r="C934" s="16" t="s">
        <v>1399</v>
      </c>
      <c r="D934" s="142" t="s">
        <v>1565</v>
      </c>
      <c r="E934" s="143" t="s">
        <v>1566</v>
      </c>
      <c r="F934" s="144" t="s">
        <v>1567</v>
      </c>
      <c r="G934" s="143" t="s">
        <v>69</v>
      </c>
      <c r="H934" s="146">
        <v>94.6</v>
      </c>
      <c r="I934" s="146">
        <v>104.06</v>
      </c>
      <c r="J934" s="149">
        <v>59911</v>
      </c>
      <c r="K934" s="149">
        <f t="shared" si="110"/>
        <v>6234338.6600000001</v>
      </c>
      <c r="L934" s="149"/>
      <c r="M934" s="149"/>
      <c r="N934" s="149">
        <f t="shared" ref="N934" si="112">+J934*I934</f>
        <v>6234338.6600000001</v>
      </c>
      <c r="O934" s="149"/>
      <c r="P934" s="156"/>
    </row>
    <row r="935" spans="1:17" s="1" customFormat="1" ht="51" x14ac:dyDescent="0.2">
      <c r="A935" t="s">
        <v>1400</v>
      </c>
      <c r="B935" t="s">
        <v>1401</v>
      </c>
      <c r="C935" s="12" t="s">
        <v>1397</v>
      </c>
      <c r="D935" s="130" t="s">
        <v>610</v>
      </c>
      <c r="E935" s="131" t="s">
        <v>1432</v>
      </c>
      <c r="F935" s="131" t="s">
        <v>1433</v>
      </c>
      <c r="G935" s="132" t="s">
        <v>1405</v>
      </c>
      <c r="H935" s="133">
        <v>2.5</v>
      </c>
      <c r="I935" s="133"/>
      <c r="J935" s="149"/>
      <c r="K935" s="149"/>
      <c r="L935" s="149"/>
      <c r="M935" s="149"/>
      <c r="N935" s="149"/>
      <c r="O935" s="149"/>
      <c r="P935" s="153"/>
      <c r="Q935" s="35"/>
    </row>
    <row r="936" spans="1:17" s="14" customFormat="1" x14ac:dyDescent="0.2">
      <c r="A936" t="s">
        <v>1400</v>
      </c>
      <c r="B936" t="s">
        <v>1401</v>
      </c>
      <c r="C936" s="14" t="s">
        <v>24</v>
      </c>
      <c r="D936" s="134" t="s">
        <v>611</v>
      </c>
      <c r="E936" s="135" t="s">
        <v>18</v>
      </c>
      <c r="F936" s="136" t="s">
        <v>23</v>
      </c>
      <c r="G936" s="135" t="s">
        <v>24</v>
      </c>
      <c r="H936" s="137">
        <v>149.63999999999999</v>
      </c>
      <c r="I936" s="137">
        <v>374.1</v>
      </c>
      <c r="J936" s="149">
        <v>22914.53</v>
      </c>
      <c r="K936" s="149">
        <f t="shared" ref="K936:K940" si="113">+J936*I936</f>
        <v>8572325.6730000004</v>
      </c>
      <c r="L936" s="149">
        <f>+J936*I936</f>
        <v>8572325.6730000004</v>
      </c>
      <c r="M936" s="149"/>
      <c r="N936" s="149"/>
      <c r="O936" s="149"/>
      <c r="P936" s="154"/>
    </row>
    <row r="937" spans="1:17" s="15" customFormat="1" x14ac:dyDescent="0.2">
      <c r="A937" t="s">
        <v>1400</v>
      </c>
      <c r="B937" t="s">
        <v>1401</v>
      </c>
      <c r="C937" s="15" t="s">
        <v>28</v>
      </c>
      <c r="D937" s="138" t="s">
        <v>612</v>
      </c>
      <c r="E937" s="139" t="s">
        <v>30</v>
      </c>
      <c r="F937" s="140" t="s">
        <v>31</v>
      </c>
      <c r="G937" s="139" t="s">
        <v>28</v>
      </c>
      <c r="H937" s="141">
        <v>0.22</v>
      </c>
      <c r="I937" s="141">
        <v>0.55000000000000004</v>
      </c>
      <c r="J937" s="149">
        <v>106655</v>
      </c>
      <c r="K937" s="149">
        <f t="shared" si="113"/>
        <v>58660.250000000007</v>
      </c>
      <c r="L937" s="149"/>
      <c r="M937" s="149">
        <f t="shared" ref="M937:M939" si="114">+J937*I937</f>
        <v>58660.250000000007</v>
      </c>
      <c r="N937" s="149"/>
      <c r="O937" s="149"/>
      <c r="P937" s="155"/>
    </row>
    <row r="938" spans="1:17" s="15" customFormat="1" x14ac:dyDescent="0.2">
      <c r="A938" t="s">
        <v>1400</v>
      </c>
      <c r="B938" t="s">
        <v>1401</v>
      </c>
      <c r="C938" s="15" t="s">
        <v>28</v>
      </c>
      <c r="D938" s="138" t="s">
        <v>613</v>
      </c>
      <c r="E938" s="139" t="s">
        <v>33</v>
      </c>
      <c r="F938" s="140" t="s">
        <v>34</v>
      </c>
      <c r="G938" s="139" t="s">
        <v>28</v>
      </c>
      <c r="H938" s="141">
        <v>4.5599999999999996</v>
      </c>
      <c r="I938" s="141">
        <v>11.4</v>
      </c>
      <c r="J938" s="149">
        <v>1732</v>
      </c>
      <c r="K938" s="149">
        <f t="shared" si="113"/>
        <v>19744.8</v>
      </c>
      <c r="L938" s="149"/>
      <c r="M938" s="149">
        <f t="shared" si="114"/>
        <v>19744.8</v>
      </c>
      <c r="N938" s="149"/>
      <c r="O938" s="149"/>
      <c r="P938" s="155"/>
    </row>
    <row r="939" spans="1:17" s="15" customFormat="1" x14ac:dyDescent="0.2">
      <c r="A939" t="s">
        <v>1400</v>
      </c>
      <c r="B939" t="s">
        <v>1401</v>
      </c>
      <c r="C939" s="15" t="s">
        <v>28</v>
      </c>
      <c r="D939" s="138" t="s">
        <v>614</v>
      </c>
      <c r="E939" s="139" t="s">
        <v>1414</v>
      </c>
      <c r="F939" s="140" t="s">
        <v>1415</v>
      </c>
      <c r="G939" s="139" t="s">
        <v>28</v>
      </c>
      <c r="H939" s="141">
        <v>8.1199999999999992</v>
      </c>
      <c r="I939" s="141">
        <v>20.3</v>
      </c>
      <c r="J939" s="149">
        <v>16041</v>
      </c>
      <c r="K939" s="149">
        <f t="shared" si="113"/>
        <v>325632.3</v>
      </c>
      <c r="L939" s="149"/>
      <c r="M939" s="149">
        <f t="shared" si="114"/>
        <v>325632.3</v>
      </c>
      <c r="N939" s="149"/>
      <c r="O939" s="149"/>
      <c r="P939" s="155"/>
    </row>
    <row r="940" spans="1:17" s="16" customFormat="1" x14ac:dyDescent="0.2">
      <c r="A940" t="s">
        <v>1400</v>
      </c>
      <c r="B940" t="s">
        <v>1401</v>
      </c>
      <c r="C940" s="16" t="s">
        <v>1399</v>
      </c>
      <c r="D940" s="142" t="s">
        <v>1568</v>
      </c>
      <c r="E940" s="143" t="s">
        <v>1569</v>
      </c>
      <c r="F940" s="144" t="s">
        <v>1570</v>
      </c>
      <c r="G940" s="143" t="s">
        <v>69</v>
      </c>
      <c r="H940" s="146">
        <v>92.9</v>
      </c>
      <c r="I940" s="146">
        <v>232.25</v>
      </c>
      <c r="J940" s="149">
        <v>9018</v>
      </c>
      <c r="K940" s="149">
        <f t="shared" si="113"/>
        <v>2094430.5</v>
      </c>
      <c r="L940" s="149"/>
      <c r="M940" s="149"/>
      <c r="N940" s="149">
        <f t="shared" ref="N940" si="115">+J940*I940</f>
        <v>2094430.5</v>
      </c>
      <c r="O940" s="149"/>
      <c r="P940" s="156"/>
    </row>
    <row r="941" spans="1:17" s="1" customFormat="1" ht="51" x14ac:dyDescent="0.2">
      <c r="A941" t="s">
        <v>1400</v>
      </c>
      <c r="B941" t="s">
        <v>1401</v>
      </c>
      <c r="C941" s="12" t="s">
        <v>1397</v>
      </c>
      <c r="D941" s="130" t="s">
        <v>616</v>
      </c>
      <c r="E941" s="131" t="s">
        <v>1436</v>
      </c>
      <c r="F941" s="131" t="s">
        <v>1437</v>
      </c>
      <c r="G941" s="132" t="s">
        <v>1405</v>
      </c>
      <c r="H941" s="133">
        <v>12.7</v>
      </c>
      <c r="I941" s="133"/>
      <c r="J941" s="149"/>
      <c r="K941" s="149"/>
      <c r="L941" s="149"/>
      <c r="M941" s="149"/>
      <c r="N941" s="149"/>
      <c r="O941" s="149"/>
      <c r="P941" s="153"/>
      <c r="Q941" s="35"/>
    </row>
    <row r="942" spans="1:17" s="14" customFormat="1" x14ac:dyDescent="0.2">
      <c r="A942" t="s">
        <v>1400</v>
      </c>
      <c r="B942" t="s">
        <v>1401</v>
      </c>
      <c r="C942" s="14" t="s">
        <v>24</v>
      </c>
      <c r="D942" s="134" t="s">
        <v>619</v>
      </c>
      <c r="E942" s="135" t="s">
        <v>18</v>
      </c>
      <c r="F942" s="136" t="s">
        <v>23</v>
      </c>
      <c r="G942" s="135" t="s">
        <v>24</v>
      </c>
      <c r="H942" s="137">
        <v>190.24</v>
      </c>
      <c r="I942" s="137">
        <v>2416.0479999999998</v>
      </c>
      <c r="J942" s="149">
        <v>22914.53</v>
      </c>
      <c r="K942" s="149">
        <f t="shared" ref="K942:K969" si="116">+J942*I942</f>
        <v>55362604.377439991</v>
      </c>
      <c r="L942" s="149">
        <f>+J942*I942</f>
        <v>55362604.377439991</v>
      </c>
      <c r="M942" s="149"/>
      <c r="N942" s="149"/>
      <c r="O942" s="149"/>
      <c r="P942" s="154"/>
    </row>
    <row r="943" spans="1:17" s="15" customFormat="1" x14ac:dyDescent="0.2">
      <c r="A943" t="s">
        <v>1400</v>
      </c>
      <c r="B943" t="s">
        <v>1401</v>
      </c>
      <c r="C943" s="15" t="s">
        <v>28</v>
      </c>
      <c r="D943" s="138" t="s">
        <v>620</v>
      </c>
      <c r="E943" s="139" t="s">
        <v>30</v>
      </c>
      <c r="F943" s="140" t="s">
        <v>31</v>
      </c>
      <c r="G943" s="139" t="s">
        <v>28</v>
      </c>
      <c r="H943" s="141">
        <v>0.22</v>
      </c>
      <c r="I943" s="141">
        <v>2.794</v>
      </c>
      <c r="J943" s="149">
        <v>106655</v>
      </c>
      <c r="K943" s="149">
        <f t="shared" si="116"/>
        <v>297994.07</v>
      </c>
      <c r="L943" s="149"/>
      <c r="M943" s="149">
        <f t="shared" ref="M943:M945" si="117">+J943*I943</f>
        <v>297994.07</v>
      </c>
      <c r="N943" s="149"/>
      <c r="O943" s="149"/>
      <c r="P943" s="155"/>
    </row>
    <row r="944" spans="1:17" s="15" customFormat="1" x14ac:dyDescent="0.2">
      <c r="A944" t="s">
        <v>1400</v>
      </c>
      <c r="B944" t="s">
        <v>1401</v>
      </c>
      <c r="C944" s="15" t="s">
        <v>28</v>
      </c>
      <c r="D944" s="138" t="s">
        <v>621</v>
      </c>
      <c r="E944" s="139" t="s">
        <v>33</v>
      </c>
      <c r="F944" s="140" t="s">
        <v>34</v>
      </c>
      <c r="G944" s="139" t="s">
        <v>28</v>
      </c>
      <c r="H944" s="141">
        <v>4.28</v>
      </c>
      <c r="I944" s="141">
        <v>54.356000000000002</v>
      </c>
      <c r="J944" s="149">
        <v>1732</v>
      </c>
      <c r="K944" s="149">
        <f t="shared" si="116"/>
        <v>94144.592000000004</v>
      </c>
      <c r="L944" s="149"/>
      <c r="M944" s="149">
        <f t="shared" si="117"/>
        <v>94144.592000000004</v>
      </c>
      <c r="N944" s="149"/>
      <c r="O944" s="149"/>
      <c r="P944" s="155"/>
    </row>
    <row r="945" spans="1:16" s="15" customFormat="1" x14ac:dyDescent="0.2">
      <c r="A945" t="s">
        <v>1400</v>
      </c>
      <c r="B945" t="s">
        <v>1401</v>
      </c>
      <c r="C945" s="15" t="s">
        <v>28</v>
      </c>
      <c r="D945" s="138" t="s">
        <v>624</v>
      </c>
      <c r="E945" s="139" t="s">
        <v>1414</v>
      </c>
      <c r="F945" s="140" t="s">
        <v>1415</v>
      </c>
      <c r="G945" s="139" t="s">
        <v>28</v>
      </c>
      <c r="H945" s="141">
        <v>13.34</v>
      </c>
      <c r="I945" s="141">
        <v>169.41800000000001</v>
      </c>
      <c r="J945" s="149">
        <v>16041</v>
      </c>
      <c r="K945" s="149">
        <f t="shared" si="116"/>
        <v>2717634.1380000003</v>
      </c>
      <c r="L945" s="149"/>
      <c r="M945" s="149">
        <f t="shared" si="117"/>
        <v>2717634.1380000003</v>
      </c>
      <c r="N945" s="149"/>
      <c r="O945" s="149"/>
      <c r="P945" s="155"/>
    </row>
    <row r="946" spans="1:16" s="16" customFormat="1" x14ac:dyDescent="0.2">
      <c r="A946" t="s">
        <v>1400</v>
      </c>
      <c r="B946" t="s">
        <v>1401</v>
      </c>
      <c r="C946" s="16" t="s">
        <v>1399</v>
      </c>
      <c r="D946" s="142" t="s">
        <v>625</v>
      </c>
      <c r="E946" s="143" t="s">
        <v>1571</v>
      </c>
      <c r="F946" s="144" t="s">
        <v>1572</v>
      </c>
      <c r="G946" s="143" t="s">
        <v>69</v>
      </c>
      <c r="H946" s="146">
        <v>89.9</v>
      </c>
      <c r="I946" s="146">
        <v>1141.73</v>
      </c>
      <c r="J946" s="149">
        <v>6071</v>
      </c>
      <c r="K946" s="149">
        <f t="shared" si="116"/>
        <v>6931442.8300000001</v>
      </c>
      <c r="L946" s="149"/>
      <c r="M946" s="149"/>
      <c r="N946" s="149">
        <f t="shared" ref="N946:N969" si="118">+J946*I946</f>
        <v>6931442.8300000001</v>
      </c>
      <c r="O946" s="149"/>
      <c r="P946" s="156"/>
    </row>
    <row r="947" spans="1:16" s="1" customFormat="1" x14ac:dyDescent="0.2">
      <c r="A947" t="s">
        <v>1400</v>
      </c>
      <c r="B947" t="s">
        <v>1401</v>
      </c>
      <c r="C947" s="16" t="s">
        <v>1399</v>
      </c>
      <c r="D947" s="130" t="s">
        <v>635</v>
      </c>
      <c r="E947" s="131" t="s">
        <v>1468</v>
      </c>
      <c r="F947" s="131" t="s">
        <v>1573</v>
      </c>
      <c r="G947" s="132" t="s">
        <v>42</v>
      </c>
      <c r="H947" s="148">
        <v>4</v>
      </c>
      <c r="I947" s="148">
        <f t="shared" ref="I947:I969" si="119">+H947</f>
        <v>4</v>
      </c>
      <c r="J947" s="149">
        <v>65000</v>
      </c>
      <c r="K947" s="149">
        <f t="shared" si="116"/>
        <v>260000</v>
      </c>
      <c r="L947" s="149"/>
      <c r="M947" s="149"/>
      <c r="N947" s="149">
        <f t="shared" si="118"/>
        <v>260000</v>
      </c>
      <c r="O947" s="149"/>
      <c r="P947" s="153"/>
    </row>
    <row r="948" spans="1:16" s="1" customFormat="1" x14ac:dyDescent="0.2">
      <c r="A948" t="s">
        <v>1400</v>
      </c>
      <c r="B948" t="s">
        <v>1401</v>
      </c>
      <c r="C948" s="16" t="s">
        <v>1399</v>
      </c>
      <c r="D948" s="130" t="s">
        <v>667</v>
      </c>
      <c r="E948" s="131" t="s">
        <v>1468</v>
      </c>
      <c r="F948" s="131" t="s">
        <v>1469</v>
      </c>
      <c r="G948" s="132" t="s">
        <v>42</v>
      </c>
      <c r="H948" s="148">
        <v>12</v>
      </c>
      <c r="I948" s="148">
        <f t="shared" si="119"/>
        <v>12</v>
      </c>
      <c r="J948" s="149">
        <v>18000</v>
      </c>
      <c r="K948" s="149">
        <f t="shared" si="116"/>
        <v>216000</v>
      </c>
      <c r="L948" s="149"/>
      <c r="M948" s="149"/>
      <c r="N948" s="149">
        <f t="shared" si="118"/>
        <v>216000</v>
      </c>
      <c r="O948" s="149"/>
      <c r="P948" s="153"/>
    </row>
    <row r="949" spans="1:16" s="1" customFormat="1" x14ac:dyDescent="0.2">
      <c r="A949" t="s">
        <v>1400</v>
      </c>
      <c r="B949" t="s">
        <v>1401</v>
      </c>
      <c r="C949" s="16" t="s">
        <v>1399</v>
      </c>
      <c r="D949" s="130" t="s">
        <v>677</v>
      </c>
      <c r="E949" s="131" t="s">
        <v>1470</v>
      </c>
      <c r="F949" s="131" t="s">
        <v>1471</v>
      </c>
      <c r="G949" s="132" t="s">
        <v>42</v>
      </c>
      <c r="H949" s="148">
        <v>144</v>
      </c>
      <c r="I949" s="148">
        <f t="shared" si="119"/>
        <v>144</v>
      </c>
      <c r="J949" s="149">
        <v>16000</v>
      </c>
      <c r="K949" s="149">
        <f t="shared" si="116"/>
        <v>2304000</v>
      </c>
      <c r="L949" s="149"/>
      <c r="M949" s="149"/>
      <c r="N949" s="149">
        <f t="shared" si="118"/>
        <v>2304000</v>
      </c>
      <c r="O949" s="149"/>
      <c r="P949" s="153"/>
    </row>
    <row r="950" spans="1:16" s="1" customFormat="1" x14ac:dyDescent="0.2">
      <c r="A950" t="s">
        <v>1400</v>
      </c>
      <c r="B950" t="s">
        <v>1401</v>
      </c>
      <c r="C950" s="16" t="s">
        <v>1399</v>
      </c>
      <c r="D950" s="130" t="s">
        <v>700</v>
      </c>
      <c r="E950" s="131" t="s">
        <v>1479</v>
      </c>
      <c r="F950" s="131" t="s">
        <v>1476</v>
      </c>
      <c r="G950" s="132" t="s">
        <v>42</v>
      </c>
      <c r="H950" s="148">
        <v>8</v>
      </c>
      <c r="I950" s="148">
        <f t="shared" si="119"/>
        <v>8</v>
      </c>
      <c r="J950" s="149">
        <v>11804</v>
      </c>
      <c r="K950" s="149">
        <f t="shared" si="116"/>
        <v>94432</v>
      </c>
      <c r="L950" s="149"/>
      <c r="M950" s="149"/>
      <c r="N950" s="149">
        <f t="shared" si="118"/>
        <v>94432</v>
      </c>
      <c r="O950" s="149"/>
      <c r="P950" s="153"/>
    </row>
    <row r="951" spans="1:16" s="1" customFormat="1" x14ac:dyDescent="0.2">
      <c r="A951" t="s">
        <v>1400</v>
      </c>
      <c r="B951" t="s">
        <v>1401</v>
      </c>
      <c r="C951" s="16" t="s">
        <v>1399</v>
      </c>
      <c r="D951" s="130" t="s">
        <v>709</v>
      </c>
      <c r="E951" s="131" t="s">
        <v>1479</v>
      </c>
      <c r="F951" s="131" t="s">
        <v>1480</v>
      </c>
      <c r="G951" s="132" t="s">
        <v>42</v>
      </c>
      <c r="H951" s="148">
        <v>40</v>
      </c>
      <c r="I951" s="148">
        <f t="shared" si="119"/>
        <v>40</v>
      </c>
      <c r="J951" s="149">
        <v>973</v>
      </c>
      <c r="K951" s="149">
        <f t="shared" si="116"/>
        <v>38920</v>
      </c>
      <c r="L951" s="149"/>
      <c r="M951" s="149"/>
      <c r="N951" s="149">
        <f t="shared" si="118"/>
        <v>38920</v>
      </c>
      <c r="O951" s="149"/>
      <c r="P951" s="153"/>
    </row>
    <row r="952" spans="1:16" s="1" customFormat="1" x14ac:dyDescent="0.2">
      <c r="A952" t="s">
        <v>1400</v>
      </c>
      <c r="B952" t="s">
        <v>1401</v>
      </c>
      <c r="C952" s="16" t="s">
        <v>1399</v>
      </c>
      <c r="D952" s="130" t="s">
        <v>714</v>
      </c>
      <c r="E952" s="131" t="s">
        <v>1481</v>
      </c>
      <c r="F952" s="131" t="s">
        <v>1482</v>
      </c>
      <c r="G952" s="132" t="s">
        <v>42</v>
      </c>
      <c r="H952" s="148">
        <v>396</v>
      </c>
      <c r="I952" s="148">
        <f t="shared" si="119"/>
        <v>396</v>
      </c>
      <c r="J952" s="149">
        <v>634</v>
      </c>
      <c r="K952" s="149">
        <f t="shared" si="116"/>
        <v>251064</v>
      </c>
      <c r="L952" s="149"/>
      <c r="M952" s="149"/>
      <c r="N952" s="149">
        <f t="shared" si="118"/>
        <v>251064</v>
      </c>
      <c r="O952" s="149"/>
      <c r="P952" s="153"/>
    </row>
    <row r="953" spans="1:16" s="1" customFormat="1" x14ac:dyDescent="0.2">
      <c r="A953" t="s">
        <v>1400</v>
      </c>
      <c r="B953" t="s">
        <v>1401</v>
      </c>
      <c r="C953" s="16" t="s">
        <v>1399</v>
      </c>
      <c r="D953" s="130" t="s">
        <v>717</v>
      </c>
      <c r="E953" s="131" t="s">
        <v>1485</v>
      </c>
      <c r="F953" s="131" t="s">
        <v>1487</v>
      </c>
      <c r="G953" s="132" t="s">
        <v>42</v>
      </c>
      <c r="H953" s="148">
        <v>32</v>
      </c>
      <c r="I953" s="148">
        <f t="shared" si="119"/>
        <v>32</v>
      </c>
      <c r="J953" s="149">
        <v>10759</v>
      </c>
      <c r="K953" s="149">
        <f t="shared" si="116"/>
        <v>344288</v>
      </c>
      <c r="L953" s="149"/>
      <c r="M953" s="149"/>
      <c r="N953" s="149">
        <f t="shared" si="118"/>
        <v>344288</v>
      </c>
      <c r="O953" s="149"/>
      <c r="P953" s="153"/>
    </row>
    <row r="954" spans="1:16" s="1" customFormat="1" x14ac:dyDescent="0.2">
      <c r="A954" t="s">
        <v>1400</v>
      </c>
      <c r="B954" t="s">
        <v>1401</v>
      </c>
      <c r="C954" s="16" t="s">
        <v>1399</v>
      </c>
      <c r="D954" s="130" t="s">
        <v>719</v>
      </c>
      <c r="E954" s="131" t="s">
        <v>1485</v>
      </c>
      <c r="F954" s="131" t="s">
        <v>1490</v>
      </c>
      <c r="G954" s="132" t="s">
        <v>42</v>
      </c>
      <c r="H954" s="148">
        <v>36</v>
      </c>
      <c r="I954" s="148">
        <f t="shared" si="119"/>
        <v>36</v>
      </c>
      <c r="J954" s="149">
        <v>1438</v>
      </c>
      <c r="K954" s="149">
        <f t="shared" si="116"/>
        <v>51768</v>
      </c>
      <c r="L954" s="149"/>
      <c r="M954" s="149"/>
      <c r="N954" s="149">
        <f t="shared" si="118"/>
        <v>51768</v>
      </c>
      <c r="O954" s="149"/>
      <c r="P954" s="153"/>
    </row>
    <row r="955" spans="1:16" s="1" customFormat="1" x14ac:dyDescent="0.2">
      <c r="A955" t="s">
        <v>1400</v>
      </c>
      <c r="B955" t="s">
        <v>1401</v>
      </c>
      <c r="C955" s="16" t="s">
        <v>1399</v>
      </c>
      <c r="D955" s="130" t="s">
        <v>783</v>
      </c>
      <c r="E955" s="131" t="s">
        <v>1491</v>
      </c>
      <c r="F955" s="131" t="s">
        <v>1574</v>
      </c>
      <c r="G955" s="132" t="s">
        <v>42</v>
      </c>
      <c r="H955" s="148">
        <v>4</v>
      </c>
      <c r="I955" s="148">
        <f t="shared" si="119"/>
        <v>4</v>
      </c>
      <c r="J955" s="149">
        <v>4442</v>
      </c>
      <c r="K955" s="149">
        <f t="shared" si="116"/>
        <v>17768</v>
      </c>
      <c r="L955" s="149"/>
      <c r="M955" s="149"/>
      <c r="N955" s="149">
        <f t="shared" si="118"/>
        <v>17768</v>
      </c>
      <c r="O955" s="149"/>
      <c r="P955" s="153"/>
    </row>
    <row r="956" spans="1:16" s="1" customFormat="1" x14ac:dyDescent="0.2">
      <c r="A956" t="s">
        <v>1400</v>
      </c>
      <c r="B956" t="s">
        <v>1401</v>
      </c>
      <c r="C956" s="16" t="s">
        <v>1399</v>
      </c>
      <c r="D956" s="130" t="s">
        <v>785</v>
      </c>
      <c r="E956" s="131" t="s">
        <v>1493</v>
      </c>
      <c r="F956" s="131" t="s">
        <v>1575</v>
      </c>
      <c r="G956" s="132" t="s">
        <v>42</v>
      </c>
      <c r="H956" s="148">
        <v>72</v>
      </c>
      <c r="I956" s="148">
        <f t="shared" si="119"/>
        <v>72</v>
      </c>
      <c r="J956" s="149">
        <v>634</v>
      </c>
      <c r="K956" s="149">
        <f t="shared" si="116"/>
        <v>45648</v>
      </c>
      <c r="L956" s="149"/>
      <c r="M956" s="149"/>
      <c r="N956" s="149">
        <f t="shared" si="118"/>
        <v>45648</v>
      </c>
      <c r="O956" s="149"/>
      <c r="P956" s="153"/>
    </row>
    <row r="957" spans="1:16" s="1" customFormat="1" x14ac:dyDescent="0.2">
      <c r="A957" t="s">
        <v>1400</v>
      </c>
      <c r="B957" t="s">
        <v>1401</v>
      </c>
      <c r="C957" s="16" t="s">
        <v>1399</v>
      </c>
      <c r="D957" s="130" t="s">
        <v>787</v>
      </c>
      <c r="E957" s="131" t="s">
        <v>1503</v>
      </c>
      <c r="F957" s="131" t="s">
        <v>1498</v>
      </c>
      <c r="G957" s="132" t="s">
        <v>42</v>
      </c>
      <c r="H957" s="148">
        <v>220</v>
      </c>
      <c r="I957" s="148">
        <f t="shared" si="119"/>
        <v>220</v>
      </c>
      <c r="J957" s="149">
        <v>1795</v>
      </c>
      <c r="K957" s="149">
        <f t="shared" si="116"/>
        <v>394900</v>
      </c>
      <c r="L957" s="149"/>
      <c r="M957" s="149"/>
      <c r="N957" s="149">
        <f t="shared" si="118"/>
        <v>394900</v>
      </c>
      <c r="O957" s="149"/>
      <c r="P957" s="153"/>
    </row>
    <row r="958" spans="1:16" s="1" customFormat="1" x14ac:dyDescent="0.2">
      <c r="A958" t="s">
        <v>1400</v>
      </c>
      <c r="B958" t="s">
        <v>1401</v>
      </c>
      <c r="C958" s="16" t="s">
        <v>1399</v>
      </c>
      <c r="D958" s="130" t="s">
        <v>789</v>
      </c>
      <c r="E958" s="131" t="s">
        <v>1503</v>
      </c>
      <c r="F958" s="131" t="s">
        <v>1504</v>
      </c>
      <c r="G958" s="132" t="s">
        <v>42</v>
      </c>
      <c r="H958" s="148">
        <v>500</v>
      </c>
      <c r="I958" s="148">
        <f t="shared" si="119"/>
        <v>500</v>
      </c>
      <c r="J958" s="149">
        <v>420</v>
      </c>
      <c r="K958" s="149">
        <f t="shared" si="116"/>
        <v>210000</v>
      </c>
      <c r="L958" s="149"/>
      <c r="M958" s="149"/>
      <c r="N958" s="149">
        <f t="shared" si="118"/>
        <v>210000</v>
      </c>
      <c r="O958" s="149"/>
      <c r="P958" s="153"/>
    </row>
    <row r="959" spans="1:16" s="1" customFormat="1" x14ac:dyDescent="0.2">
      <c r="A959" t="s">
        <v>1400</v>
      </c>
      <c r="B959" t="s">
        <v>1401</v>
      </c>
      <c r="C959" s="16" t="s">
        <v>1399</v>
      </c>
      <c r="D959" s="130" t="s">
        <v>810</v>
      </c>
      <c r="E959" s="131" t="s">
        <v>1505</v>
      </c>
      <c r="F959" s="131" t="s">
        <v>1506</v>
      </c>
      <c r="G959" s="132" t="s">
        <v>42</v>
      </c>
      <c r="H959" s="148">
        <v>2500</v>
      </c>
      <c r="I959" s="148">
        <f t="shared" si="119"/>
        <v>2500</v>
      </c>
      <c r="J959" s="149">
        <v>321</v>
      </c>
      <c r="K959" s="149">
        <f t="shared" si="116"/>
        <v>802500</v>
      </c>
      <c r="L959" s="149"/>
      <c r="M959" s="149"/>
      <c r="N959" s="149">
        <f t="shared" si="118"/>
        <v>802500</v>
      </c>
      <c r="O959" s="149"/>
      <c r="P959" s="153"/>
    </row>
    <row r="960" spans="1:16" s="1" customFormat="1" x14ac:dyDescent="0.2">
      <c r="A960" t="s">
        <v>1400</v>
      </c>
      <c r="B960" t="s">
        <v>1401</v>
      </c>
      <c r="C960" s="16" t="s">
        <v>1399</v>
      </c>
      <c r="D960" s="130" t="s">
        <v>822</v>
      </c>
      <c r="E960" s="131" t="s">
        <v>1515</v>
      </c>
      <c r="F960" s="131" t="s">
        <v>1510</v>
      </c>
      <c r="G960" s="132" t="s">
        <v>42</v>
      </c>
      <c r="H960" s="148">
        <v>27</v>
      </c>
      <c r="I960" s="148">
        <f t="shared" si="119"/>
        <v>27</v>
      </c>
      <c r="J960" s="149">
        <v>8312</v>
      </c>
      <c r="K960" s="149">
        <f t="shared" si="116"/>
        <v>224424</v>
      </c>
      <c r="L960" s="149"/>
      <c r="M960" s="149"/>
      <c r="N960" s="149">
        <f t="shared" si="118"/>
        <v>224424</v>
      </c>
      <c r="O960" s="149"/>
      <c r="P960" s="153"/>
    </row>
    <row r="961" spans="1:17" s="1" customFormat="1" x14ac:dyDescent="0.2">
      <c r="A961" t="s">
        <v>1400</v>
      </c>
      <c r="B961" t="s">
        <v>1401</v>
      </c>
      <c r="C961" s="16" t="s">
        <v>1399</v>
      </c>
      <c r="D961" s="130" t="s">
        <v>824</v>
      </c>
      <c r="E961" s="131" t="s">
        <v>1515</v>
      </c>
      <c r="F961" s="131" t="s">
        <v>1516</v>
      </c>
      <c r="G961" s="132" t="s">
        <v>42</v>
      </c>
      <c r="H961" s="148">
        <v>62</v>
      </c>
      <c r="I961" s="148">
        <f t="shared" si="119"/>
        <v>62</v>
      </c>
      <c r="J961" s="149">
        <v>710</v>
      </c>
      <c r="K961" s="149">
        <f t="shared" si="116"/>
        <v>44020</v>
      </c>
      <c r="L961" s="149"/>
      <c r="M961" s="149"/>
      <c r="N961" s="149">
        <f t="shared" si="118"/>
        <v>44020</v>
      </c>
      <c r="O961" s="149"/>
      <c r="P961" s="153"/>
    </row>
    <row r="962" spans="1:17" s="1" customFormat="1" x14ac:dyDescent="0.2">
      <c r="A962" t="s">
        <v>1400</v>
      </c>
      <c r="B962" t="s">
        <v>1401</v>
      </c>
      <c r="C962" s="16" t="s">
        <v>1399</v>
      </c>
      <c r="D962" s="130" t="s">
        <v>836</v>
      </c>
      <c r="E962" s="131" t="s">
        <v>1517</v>
      </c>
      <c r="F962" s="131" t="s">
        <v>1518</v>
      </c>
      <c r="G962" s="132" t="s">
        <v>42</v>
      </c>
      <c r="H962" s="148">
        <v>317</v>
      </c>
      <c r="I962" s="148">
        <f t="shared" si="119"/>
        <v>317</v>
      </c>
      <c r="J962" s="149">
        <v>527</v>
      </c>
      <c r="K962" s="149">
        <f t="shared" si="116"/>
        <v>167059</v>
      </c>
      <c r="L962" s="149"/>
      <c r="M962" s="149"/>
      <c r="N962" s="149">
        <f t="shared" si="118"/>
        <v>167059</v>
      </c>
      <c r="O962" s="149"/>
      <c r="P962" s="153"/>
    </row>
    <row r="963" spans="1:17" s="1" customFormat="1" ht="25.5" x14ac:dyDescent="0.2">
      <c r="A963" t="s">
        <v>1400</v>
      </c>
      <c r="B963" t="s">
        <v>1401</v>
      </c>
      <c r="C963" s="16" t="s">
        <v>1399</v>
      </c>
      <c r="D963" s="130" t="s">
        <v>843</v>
      </c>
      <c r="E963" s="131" t="s">
        <v>1576</v>
      </c>
      <c r="F963" s="131" t="s">
        <v>1577</v>
      </c>
      <c r="G963" s="132" t="s">
        <v>42</v>
      </c>
      <c r="H963" s="148">
        <v>36</v>
      </c>
      <c r="I963" s="148">
        <f t="shared" si="119"/>
        <v>36</v>
      </c>
      <c r="J963" s="149">
        <v>8795</v>
      </c>
      <c r="K963" s="149">
        <f t="shared" si="116"/>
        <v>316620</v>
      </c>
      <c r="L963" s="149"/>
      <c r="M963" s="149"/>
      <c r="N963" s="149">
        <f t="shared" si="118"/>
        <v>316620</v>
      </c>
      <c r="O963" s="149"/>
      <c r="P963" s="153"/>
    </row>
    <row r="964" spans="1:17" s="1" customFormat="1" ht="25.5" x14ac:dyDescent="0.2">
      <c r="A964" t="s">
        <v>1400</v>
      </c>
      <c r="B964" t="s">
        <v>1401</v>
      </c>
      <c r="C964" s="16" t="s">
        <v>1399</v>
      </c>
      <c r="D964" s="130" t="s">
        <v>857</v>
      </c>
      <c r="E964" s="131" t="s">
        <v>1578</v>
      </c>
      <c r="F964" s="131" t="s">
        <v>1579</v>
      </c>
      <c r="G964" s="132" t="s">
        <v>42</v>
      </c>
      <c r="H964" s="148">
        <v>36</v>
      </c>
      <c r="I964" s="148">
        <f t="shared" si="119"/>
        <v>36</v>
      </c>
      <c r="J964" s="149">
        <v>6295</v>
      </c>
      <c r="K964" s="149">
        <f t="shared" si="116"/>
        <v>226620</v>
      </c>
      <c r="L964" s="149"/>
      <c r="M964" s="149"/>
      <c r="N964" s="149">
        <f t="shared" si="118"/>
        <v>226620</v>
      </c>
      <c r="O964" s="149"/>
      <c r="P964" s="153"/>
    </row>
    <row r="965" spans="1:17" s="1" customFormat="1" ht="25.5" x14ac:dyDescent="0.2">
      <c r="A965" t="s">
        <v>1400</v>
      </c>
      <c r="B965" t="s">
        <v>1401</v>
      </c>
      <c r="C965" s="16" t="s">
        <v>1399</v>
      </c>
      <c r="D965" s="130" t="s">
        <v>865</v>
      </c>
      <c r="E965" s="131" t="s">
        <v>1580</v>
      </c>
      <c r="F965" s="131" t="s">
        <v>1581</v>
      </c>
      <c r="G965" s="132" t="s">
        <v>42</v>
      </c>
      <c r="H965" s="148">
        <v>72</v>
      </c>
      <c r="I965" s="148">
        <f t="shared" si="119"/>
        <v>72</v>
      </c>
      <c r="J965" s="149">
        <v>634</v>
      </c>
      <c r="K965" s="149">
        <f t="shared" si="116"/>
        <v>45648</v>
      </c>
      <c r="L965" s="149"/>
      <c r="M965" s="149"/>
      <c r="N965" s="149">
        <f t="shared" si="118"/>
        <v>45648</v>
      </c>
      <c r="O965" s="149"/>
      <c r="P965" s="153"/>
    </row>
    <row r="966" spans="1:17" s="1" customFormat="1" ht="25.5" x14ac:dyDescent="0.2">
      <c r="A966" t="s">
        <v>1400</v>
      </c>
      <c r="B966" t="s">
        <v>1401</v>
      </c>
      <c r="C966" s="16" t="s">
        <v>1399</v>
      </c>
      <c r="D966" s="130" t="s">
        <v>871</v>
      </c>
      <c r="E966" s="131" t="s">
        <v>1582</v>
      </c>
      <c r="F966" s="131" t="s">
        <v>1583</v>
      </c>
      <c r="G966" s="132" t="s">
        <v>42</v>
      </c>
      <c r="H966" s="148">
        <v>36</v>
      </c>
      <c r="I966" s="148">
        <f t="shared" si="119"/>
        <v>36</v>
      </c>
      <c r="J966" s="149">
        <v>6295</v>
      </c>
      <c r="K966" s="149">
        <f t="shared" si="116"/>
        <v>226620</v>
      </c>
      <c r="L966" s="149"/>
      <c r="M966" s="149"/>
      <c r="N966" s="149">
        <f t="shared" si="118"/>
        <v>226620</v>
      </c>
      <c r="O966" s="149"/>
      <c r="P966" s="153"/>
    </row>
    <row r="967" spans="1:17" s="1" customFormat="1" x14ac:dyDescent="0.2">
      <c r="A967" t="s">
        <v>1400</v>
      </c>
      <c r="B967" t="s">
        <v>1401</v>
      </c>
      <c r="C967" s="16" t="s">
        <v>1399</v>
      </c>
      <c r="D967" s="130" t="s">
        <v>889</v>
      </c>
      <c r="E967" s="131" t="s">
        <v>1527</v>
      </c>
      <c r="F967" s="131" t="s">
        <v>1528</v>
      </c>
      <c r="G967" s="132" t="s">
        <v>69</v>
      </c>
      <c r="H967" s="148">
        <v>110</v>
      </c>
      <c r="I967" s="148">
        <f t="shared" si="119"/>
        <v>110</v>
      </c>
      <c r="J967" s="149">
        <v>5500</v>
      </c>
      <c r="K967" s="149">
        <f t="shared" si="116"/>
        <v>605000</v>
      </c>
      <c r="L967" s="149"/>
      <c r="M967" s="149"/>
      <c r="N967" s="149">
        <f t="shared" si="118"/>
        <v>605000</v>
      </c>
      <c r="O967" s="149"/>
      <c r="P967" s="153"/>
    </row>
    <row r="968" spans="1:17" s="1" customFormat="1" x14ac:dyDescent="0.2">
      <c r="A968" t="s">
        <v>1400</v>
      </c>
      <c r="B968" t="s">
        <v>1401</v>
      </c>
      <c r="C968" s="16" t="s">
        <v>1399</v>
      </c>
      <c r="D968" s="130" t="s">
        <v>902</v>
      </c>
      <c r="E968" s="131" t="s">
        <v>1584</v>
      </c>
      <c r="F968" s="131" t="s">
        <v>1585</v>
      </c>
      <c r="G968" s="132" t="s">
        <v>69</v>
      </c>
      <c r="H968" s="148">
        <v>250</v>
      </c>
      <c r="I968" s="148">
        <f t="shared" si="119"/>
        <v>250</v>
      </c>
      <c r="J968" s="149">
        <v>3500</v>
      </c>
      <c r="K968" s="149">
        <f t="shared" si="116"/>
        <v>875000</v>
      </c>
      <c r="L968" s="149"/>
      <c r="M968" s="149"/>
      <c r="N968" s="149">
        <f t="shared" si="118"/>
        <v>875000</v>
      </c>
      <c r="O968" s="149"/>
      <c r="P968" s="153"/>
    </row>
    <row r="969" spans="1:17" s="1" customFormat="1" x14ac:dyDescent="0.2">
      <c r="A969" t="s">
        <v>1400</v>
      </c>
      <c r="B969" t="s">
        <v>1401</v>
      </c>
      <c r="C969" s="16" t="s">
        <v>1399</v>
      </c>
      <c r="D969" s="130" t="s">
        <v>913</v>
      </c>
      <c r="E969" s="131" t="s">
        <v>1533</v>
      </c>
      <c r="F969" s="131" t="s">
        <v>1535</v>
      </c>
      <c r="G969" s="132" t="s">
        <v>42</v>
      </c>
      <c r="H969" s="148">
        <v>4</v>
      </c>
      <c r="I969" s="148">
        <f t="shared" si="119"/>
        <v>4</v>
      </c>
      <c r="J969" s="149">
        <v>45000</v>
      </c>
      <c r="K969" s="149">
        <f t="shared" si="116"/>
        <v>180000</v>
      </c>
      <c r="L969" s="149"/>
      <c r="M969" s="149"/>
      <c r="N969" s="149">
        <f t="shared" si="118"/>
        <v>180000</v>
      </c>
      <c r="O969" s="149"/>
      <c r="P969" s="153"/>
    </row>
    <row r="970" spans="1:17" s="1" customFormat="1" ht="51" x14ac:dyDescent="0.2">
      <c r="A970" t="s">
        <v>1400</v>
      </c>
      <c r="B970" t="s">
        <v>1401</v>
      </c>
      <c r="C970" s="12" t="s">
        <v>1397</v>
      </c>
      <c r="D970" s="130" t="s">
        <v>925</v>
      </c>
      <c r="E970" s="131" t="s">
        <v>1536</v>
      </c>
      <c r="F970" s="131" t="s">
        <v>1537</v>
      </c>
      <c r="G970" s="132" t="s">
        <v>1463</v>
      </c>
      <c r="H970" s="148">
        <v>36</v>
      </c>
      <c r="I970" s="148"/>
      <c r="J970" s="149"/>
      <c r="K970" s="149"/>
      <c r="L970" s="149"/>
      <c r="M970" s="149"/>
      <c r="N970" s="149"/>
      <c r="O970" s="149"/>
      <c r="P970" s="153"/>
      <c r="Q970" s="35"/>
    </row>
    <row r="971" spans="1:17" s="14" customFormat="1" x14ac:dyDescent="0.2">
      <c r="A971" t="s">
        <v>1400</v>
      </c>
      <c r="B971" t="s">
        <v>1401</v>
      </c>
      <c r="C971" s="14" t="s">
        <v>24</v>
      </c>
      <c r="D971" s="134" t="s">
        <v>928</v>
      </c>
      <c r="E971" s="135" t="s">
        <v>18</v>
      </c>
      <c r="F971" s="136" t="s">
        <v>23</v>
      </c>
      <c r="G971" s="135" t="s">
        <v>24</v>
      </c>
      <c r="H971" s="137">
        <v>0.41</v>
      </c>
      <c r="I971" s="137">
        <v>14.76</v>
      </c>
      <c r="J971" s="149">
        <v>22914.53</v>
      </c>
      <c r="K971" s="149">
        <f t="shared" ref="K971:K972" si="120">+J971*I971</f>
        <v>338218.46279999998</v>
      </c>
      <c r="L971" s="149">
        <f>+J971*I971</f>
        <v>338218.46279999998</v>
      </c>
      <c r="M971" s="149"/>
      <c r="N971" s="149"/>
      <c r="O971" s="149"/>
      <c r="P971" s="154"/>
    </row>
    <row r="972" spans="1:17" s="15" customFormat="1" x14ac:dyDescent="0.2">
      <c r="A972" t="s">
        <v>1400</v>
      </c>
      <c r="B972" t="s">
        <v>1401</v>
      </c>
      <c r="C972" s="15" t="s">
        <v>28</v>
      </c>
      <c r="D972" s="138" t="s">
        <v>929</v>
      </c>
      <c r="E972" s="139" t="s">
        <v>30</v>
      </c>
      <c r="F972" s="140" t="s">
        <v>31</v>
      </c>
      <c r="G972" s="139" t="s">
        <v>28</v>
      </c>
      <c r="H972" s="141">
        <v>0.01</v>
      </c>
      <c r="I972" s="141">
        <v>0.36</v>
      </c>
      <c r="J972" s="149">
        <v>106655</v>
      </c>
      <c r="K972" s="149">
        <f t="shared" si="120"/>
        <v>38395.799999999996</v>
      </c>
      <c r="L972" s="149"/>
      <c r="M972" s="149">
        <f>+J972*I972</f>
        <v>38395.799999999996</v>
      </c>
      <c r="N972" s="149"/>
      <c r="O972" s="149"/>
      <c r="P972" s="155"/>
    </row>
    <row r="973" spans="1:17" s="1" customFormat="1" x14ac:dyDescent="0.2">
      <c r="A973" t="s">
        <v>1400</v>
      </c>
      <c r="B973" t="s">
        <v>1401</v>
      </c>
      <c r="C973" s="1" t="s">
        <v>1443</v>
      </c>
      <c r="D973" s="130" t="s">
        <v>943</v>
      </c>
      <c r="E973" s="131" t="s">
        <v>1464</v>
      </c>
      <c r="F973" s="131" t="s">
        <v>1586</v>
      </c>
      <c r="G973" s="132" t="s">
        <v>42</v>
      </c>
      <c r="H973" s="148">
        <v>36</v>
      </c>
      <c r="I973" s="148">
        <f>+H973</f>
        <v>36</v>
      </c>
      <c r="J973" s="149">
        <v>150000</v>
      </c>
      <c r="K973" s="149">
        <f>+J973*I973</f>
        <v>5400000</v>
      </c>
      <c r="L973" s="149"/>
      <c r="M973" s="149"/>
      <c r="N973" s="149"/>
      <c r="O973" s="157"/>
      <c r="P973" s="167">
        <f t="shared" ref="P973" si="121">+J973*I973</f>
        <v>5400000</v>
      </c>
    </row>
    <row r="974" spans="1:17" s="1" customFormat="1" x14ac:dyDescent="0.2">
      <c r="A974" t="s">
        <v>1400</v>
      </c>
      <c r="B974" t="s">
        <v>1401</v>
      </c>
      <c r="C974" s="12" t="s">
        <v>1397</v>
      </c>
      <c r="D974" s="130" t="s">
        <v>952</v>
      </c>
      <c r="E974" s="131" t="s">
        <v>1539</v>
      </c>
      <c r="F974" s="131" t="s">
        <v>1540</v>
      </c>
      <c r="G974" s="132" t="s">
        <v>660</v>
      </c>
      <c r="H974" s="133">
        <v>3.6</v>
      </c>
      <c r="I974" s="133"/>
      <c r="J974" s="149"/>
      <c r="K974" s="149"/>
      <c r="L974" s="149"/>
      <c r="M974" s="149"/>
      <c r="N974" s="149"/>
      <c r="O974" s="149"/>
      <c r="P974" s="153"/>
      <c r="Q974" s="35"/>
    </row>
    <row r="975" spans="1:17" s="14" customFormat="1" x14ac:dyDescent="0.2">
      <c r="A975" t="s">
        <v>1400</v>
      </c>
      <c r="B975" t="s">
        <v>1401</v>
      </c>
      <c r="C975" s="14" t="s">
        <v>24</v>
      </c>
      <c r="D975" s="134" t="s">
        <v>1587</v>
      </c>
      <c r="E975" s="135" t="s">
        <v>18</v>
      </c>
      <c r="F975" s="136" t="s">
        <v>23</v>
      </c>
      <c r="G975" s="135" t="s">
        <v>24</v>
      </c>
      <c r="H975" s="137">
        <v>8.18</v>
      </c>
      <c r="I975" s="137">
        <v>29.448</v>
      </c>
      <c r="J975" s="149">
        <v>22914.53</v>
      </c>
      <c r="K975" s="149">
        <f t="shared" ref="K975:K978" si="122">+J975*I975</f>
        <v>674787.07944</v>
      </c>
      <c r="L975" s="149">
        <f>+J975*I975</f>
        <v>674787.07944</v>
      </c>
      <c r="M975" s="149"/>
      <c r="N975" s="149"/>
      <c r="O975" s="149"/>
      <c r="P975" s="154"/>
    </row>
    <row r="976" spans="1:17" s="15" customFormat="1" x14ac:dyDescent="0.2">
      <c r="A976" t="s">
        <v>1400</v>
      </c>
      <c r="B976" t="s">
        <v>1401</v>
      </c>
      <c r="C976" s="15" t="s">
        <v>28</v>
      </c>
      <c r="D976" s="138" t="s">
        <v>1588</v>
      </c>
      <c r="E976" s="139" t="s">
        <v>98</v>
      </c>
      <c r="F976" s="140" t="s">
        <v>99</v>
      </c>
      <c r="G976" s="139" t="s">
        <v>28</v>
      </c>
      <c r="H976" s="141">
        <v>2.78</v>
      </c>
      <c r="I976" s="141">
        <v>10.007999999999999</v>
      </c>
      <c r="J976" s="149">
        <v>6858</v>
      </c>
      <c r="K976" s="149">
        <f t="shared" si="122"/>
        <v>68634.863999999987</v>
      </c>
      <c r="L976" s="149"/>
      <c r="M976" s="149">
        <f t="shared" ref="M976:M977" si="123">+J976*I976</f>
        <v>68634.863999999987</v>
      </c>
      <c r="N976" s="149"/>
      <c r="O976" s="149"/>
      <c r="P976" s="155"/>
    </row>
    <row r="977" spans="1:17" s="15" customFormat="1" x14ac:dyDescent="0.2">
      <c r="A977" t="s">
        <v>1400</v>
      </c>
      <c r="B977" t="s">
        <v>1401</v>
      </c>
      <c r="C977" s="15" t="s">
        <v>28</v>
      </c>
      <c r="D977" s="138" t="s">
        <v>1589</v>
      </c>
      <c r="E977" s="139" t="s">
        <v>30</v>
      </c>
      <c r="F977" s="140" t="s">
        <v>31</v>
      </c>
      <c r="G977" s="139" t="s">
        <v>28</v>
      </c>
      <c r="H977" s="141">
        <v>0.35</v>
      </c>
      <c r="I977" s="141">
        <v>1.26</v>
      </c>
      <c r="J977" s="149">
        <v>106655</v>
      </c>
      <c r="K977" s="149">
        <f t="shared" si="122"/>
        <v>134385.29999999999</v>
      </c>
      <c r="L977" s="149"/>
      <c r="M977" s="149">
        <f t="shared" si="123"/>
        <v>134385.29999999999</v>
      </c>
      <c r="N977" s="149"/>
      <c r="O977" s="149"/>
      <c r="P977" s="155"/>
    </row>
    <row r="978" spans="1:17" s="16" customFormat="1" x14ac:dyDescent="0.2">
      <c r="A978" t="s">
        <v>1400</v>
      </c>
      <c r="B978" t="s">
        <v>1401</v>
      </c>
      <c r="C978" s="16" t="s">
        <v>1399</v>
      </c>
      <c r="D978" s="142" t="s">
        <v>1590</v>
      </c>
      <c r="E978" s="143" t="s">
        <v>1447</v>
      </c>
      <c r="F978" s="144" t="s">
        <v>1448</v>
      </c>
      <c r="G978" s="143" t="s">
        <v>107</v>
      </c>
      <c r="H978" s="146">
        <v>6.9999999999999999E-4</v>
      </c>
      <c r="I978" s="146">
        <v>2.5200000000000001E-3</v>
      </c>
      <c r="J978" s="149">
        <v>11250000</v>
      </c>
      <c r="K978" s="149">
        <f t="shared" si="122"/>
        <v>28350</v>
      </c>
      <c r="L978" s="149"/>
      <c r="M978" s="149"/>
      <c r="N978" s="149">
        <f t="shared" ref="N978" si="124">+J978*I978</f>
        <v>28350</v>
      </c>
      <c r="O978" s="149"/>
      <c r="P978" s="156"/>
    </row>
    <row r="979" spans="1:17" s="1" customFormat="1" x14ac:dyDescent="0.2">
      <c r="A979" t="s">
        <v>1400</v>
      </c>
      <c r="B979" t="s">
        <v>1401</v>
      </c>
      <c r="C979" s="1" t="s">
        <v>1443</v>
      </c>
      <c r="D979" s="130" t="s">
        <v>955</v>
      </c>
      <c r="E979" s="131" t="s">
        <v>1541</v>
      </c>
      <c r="F979" s="131" t="s">
        <v>1542</v>
      </c>
      <c r="G979" s="132" t="s">
        <v>42</v>
      </c>
      <c r="H979" s="148">
        <v>36</v>
      </c>
      <c r="I979" s="148">
        <f>+H979</f>
        <v>36</v>
      </c>
      <c r="J979" s="149">
        <v>11407</v>
      </c>
      <c r="K979" s="149">
        <f>+J979*I979</f>
        <v>410652</v>
      </c>
      <c r="L979" s="149"/>
      <c r="M979" s="149"/>
      <c r="N979" s="149"/>
      <c r="O979" s="157"/>
      <c r="P979" s="167">
        <f t="shared" ref="P979" si="125">+J979*I979</f>
        <v>410652</v>
      </c>
    </row>
    <row r="980" spans="1:17" ht="15.75" x14ac:dyDescent="0.25">
      <c r="A980" t="s">
        <v>1400</v>
      </c>
      <c r="B980" t="s">
        <v>1401</v>
      </c>
      <c r="D980" s="151" t="s">
        <v>1591</v>
      </c>
      <c r="E980" s="128"/>
      <c r="F980" s="128"/>
      <c r="G980" s="128"/>
      <c r="H980" s="128"/>
      <c r="I980" s="128"/>
      <c r="J980" s="149"/>
      <c r="K980" s="149"/>
      <c r="L980" s="149"/>
      <c r="M980" s="149"/>
      <c r="N980" s="149"/>
      <c r="O980" s="149"/>
      <c r="P980" s="152"/>
    </row>
    <row r="981" spans="1:17" s="1" customFormat="1" ht="26.25" customHeight="1" x14ac:dyDescent="0.2">
      <c r="A981" t="s">
        <v>1400</v>
      </c>
      <c r="B981" t="s">
        <v>1401</v>
      </c>
      <c r="C981" s="12" t="s">
        <v>1397</v>
      </c>
      <c r="D981" s="130" t="s">
        <v>958</v>
      </c>
      <c r="E981" s="131" t="s">
        <v>1592</v>
      </c>
      <c r="F981" s="131" t="s">
        <v>1593</v>
      </c>
      <c r="G981" s="132" t="s">
        <v>638</v>
      </c>
      <c r="H981" s="133">
        <v>3.92</v>
      </c>
      <c r="I981" s="133"/>
      <c r="J981" s="149"/>
      <c r="K981" s="149"/>
      <c r="L981" s="149"/>
      <c r="M981" s="149"/>
      <c r="N981" s="149"/>
      <c r="O981" s="149"/>
      <c r="P981" s="153"/>
      <c r="Q981" s="35"/>
    </row>
    <row r="982" spans="1:17" s="14" customFormat="1" x14ac:dyDescent="0.2">
      <c r="A982" t="s">
        <v>1400</v>
      </c>
      <c r="B982" t="s">
        <v>1401</v>
      </c>
      <c r="C982" s="14" t="s">
        <v>24</v>
      </c>
      <c r="D982" s="134" t="s">
        <v>961</v>
      </c>
      <c r="E982" s="135" t="s">
        <v>18</v>
      </c>
      <c r="F982" s="136" t="s">
        <v>23</v>
      </c>
      <c r="G982" s="135" t="s">
        <v>24</v>
      </c>
      <c r="H982" s="137">
        <v>61.6</v>
      </c>
      <c r="I982" s="137">
        <v>241.47200000000001</v>
      </c>
      <c r="J982" s="149">
        <v>22914.53</v>
      </c>
      <c r="K982" s="149">
        <f t="shared" ref="K982:K984" si="126">+J982*I982</f>
        <v>5533217.3881599996</v>
      </c>
      <c r="L982" s="149">
        <f>+J982*I982</f>
        <v>5533217.3881599996</v>
      </c>
      <c r="M982" s="149"/>
      <c r="N982" s="149"/>
      <c r="O982" s="149"/>
      <c r="P982" s="154"/>
    </row>
    <row r="983" spans="1:17" s="15" customFormat="1" x14ac:dyDescent="0.2">
      <c r="A983" t="s">
        <v>1400</v>
      </c>
      <c r="B983" t="s">
        <v>1401</v>
      </c>
      <c r="C983" s="15" t="s">
        <v>28</v>
      </c>
      <c r="D983" s="138" t="s">
        <v>962</v>
      </c>
      <c r="E983" s="139" t="s">
        <v>30</v>
      </c>
      <c r="F983" s="140" t="s">
        <v>31</v>
      </c>
      <c r="G983" s="139" t="s">
        <v>28</v>
      </c>
      <c r="H983" s="141">
        <v>0.22</v>
      </c>
      <c r="I983" s="141">
        <v>0.86240000000000006</v>
      </c>
      <c r="J983" s="149">
        <v>106655</v>
      </c>
      <c r="K983" s="149">
        <f t="shared" si="126"/>
        <v>91979.272000000012</v>
      </c>
      <c r="L983" s="149"/>
      <c r="M983" s="149">
        <f>+J983*I983</f>
        <v>91979.272000000012</v>
      </c>
      <c r="N983" s="149"/>
      <c r="O983" s="149"/>
      <c r="P983" s="155"/>
    </row>
    <row r="984" spans="1:17" s="16" customFormat="1" ht="36" x14ac:dyDescent="0.2">
      <c r="A984" t="s">
        <v>1400</v>
      </c>
      <c r="B984" t="s">
        <v>1401</v>
      </c>
      <c r="C984" s="16" t="s">
        <v>1399</v>
      </c>
      <c r="D984" s="142" t="s">
        <v>963</v>
      </c>
      <c r="E984" s="143" t="s">
        <v>1594</v>
      </c>
      <c r="F984" s="144" t="s">
        <v>1595</v>
      </c>
      <c r="G984" s="143" t="s">
        <v>69</v>
      </c>
      <c r="H984" s="146">
        <v>99.8</v>
      </c>
      <c r="I984" s="146">
        <v>391.21600000000001</v>
      </c>
      <c r="J984" s="149">
        <v>23080</v>
      </c>
      <c r="K984" s="149">
        <f t="shared" si="126"/>
        <v>9029265.2799999993</v>
      </c>
      <c r="L984" s="149"/>
      <c r="M984" s="149"/>
      <c r="N984" s="149">
        <f t="shared" ref="N984" si="127">+J984*I984</f>
        <v>9029265.2799999993</v>
      </c>
      <c r="O984" s="149"/>
      <c r="P984" s="156"/>
    </row>
    <row r="985" spans="1:17" s="1" customFormat="1" ht="27.75" customHeight="1" x14ac:dyDescent="0.2">
      <c r="A985" t="s">
        <v>1400</v>
      </c>
      <c r="B985" t="s">
        <v>1401</v>
      </c>
      <c r="C985" s="12" t="s">
        <v>1397</v>
      </c>
      <c r="D985" s="130" t="s">
        <v>972</v>
      </c>
      <c r="E985" s="131" t="s">
        <v>1596</v>
      </c>
      <c r="F985" s="131" t="s">
        <v>1597</v>
      </c>
      <c r="G985" s="132" t="s">
        <v>638</v>
      </c>
      <c r="H985" s="133">
        <v>2.7</v>
      </c>
      <c r="I985" s="133"/>
      <c r="J985" s="149"/>
      <c r="K985" s="149"/>
      <c r="L985" s="149"/>
      <c r="M985" s="149"/>
      <c r="N985" s="149"/>
      <c r="O985" s="149"/>
      <c r="P985" s="153"/>
      <c r="Q985" s="35"/>
    </row>
    <row r="986" spans="1:17" s="14" customFormat="1" x14ac:dyDescent="0.2">
      <c r="A986" t="s">
        <v>1400</v>
      </c>
      <c r="B986" t="s">
        <v>1401</v>
      </c>
      <c r="C986" s="14" t="s">
        <v>24</v>
      </c>
      <c r="D986" s="134" t="s">
        <v>975</v>
      </c>
      <c r="E986" s="135" t="s">
        <v>18</v>
      </c>
      <c r="F986" s="136" t="s">
        <v>23</v>
      </c>
      <c r="G986" s="135" t="s">
        <v>24</v>
      </c>
      <c r="H986" s="137">
        <v>64.239999999999995</v>
      </c>
      <c r="I986" s="137">
        <v>173.44800000000001</v>
      </c>
      <c r="J986" s="149">
        <v>22914.53</v>
      </c>
      <c r="K986" s="149">
        <f t="shared" ref="K986:K1001" si="128">+J986*I986</f>
        <v>3974479.3994399998</v>
      </c>
      <c r="L986" s="149">
        <f>+J986*I986</f>
        <v>3974479.3994399998</v>
      </c>
      <c r="M986" s="149"/>
      <c r="N986" s="149"/>
      <c r="O986" s="149"/>
      <c r="P986" s="154"/>
    </row>
    <row r="987" spans="1:17" s="15" customFormat="1" x14ac:dyDescent="0.2">
      <c r="A987" t="s">
        <v>1400</v>
      </c>
      <c r="B987" t="s">
        <v>1401</v>
      </c>
      <c r="C987" s="15" t="s">
        <v>28</v>
      </c>
      <c r="D987" s="138" t="s">
        <v>976</v>
      </c>
      <c r="E987" s="139" t="s">
        <v>30</v>
      </c>
      <c r="F987" s="140" t="s">
        <v>31</v>
      </c>
      <c r="G987" s="139" t="s">
        <v>28</v>
      </c>
      <c r="H987" s="141">
        <v>0.11</v>
      </c>
      <c r="I987" s="141">
        <v>0.29699999999999999</v>
      </c>
      <c r="J987" s="149">
        <v>106655</v>
      </c>
      <c r="K987" s="149">
        <f t="shared" si="128"/>
        <v>31676.535</v>
      </c>
      <c r="L987" s="149"/>
      <c r="M987" s="149">
        <f>+J987*I987</f>
        <v>31676.535</v>
      </c>
      <c r="N987" s="149"/>
      <c r="O987" s="149"/>
      <c r="P987" s="155"/>
    </row>
    <row r="988" spans="1:17" s="16" customFormat="1" ht="36" x14ac:dyDescent="0.2">
      <c r="A988" t="s">
        <v>1400</v>
      </c>
      <c r="B988" t="s">
        <v>1401</v>
      </c>
      <c r="C988" s="16" t="s">
        <v>1399</v>
      </c>
      <c r="D988" s="142" t="s">
        <v>977</v>
      </c>
      <c r="E988" s="143" t="s">
        <v>1598</v>
      </c>
      <c r="F988" s="144" t="s">
        <v>1599</v>
      </c>
      <c r="G988" s="143" t="s">
        <v>69</v>
      </c>
      <c r="H988" s="146">
        <v>99.8</v>
      </c>
      <c r="I988" s="146">
        <v>269.45999999999998</v>
      </c>
      <c r="J988" s="149">
        <v>9283</v>
      </c>
      <c r="K988" s="149">
        <f t="shared" si="128"/>
        <v>2501397.1799999997</v>
      </c>
      <c r="L988" s="149"/>
      <c r="M988" s="149"/>
      <c r="N988" s="149">
        <f t="shared" ref="N988:N1001" si="129">+J988*I988</f>
        <v>2501397.1799999997</v>
      </c>
      <c r="O988" s="149"/>
      <c r="P988" s="156"/>
    </row>
    <row r="989" spans="1:17" s="1" customFormat="1" x14ac:dyDescent="0.2">
      <c r="A989" t="s">
        <v>1400</v>
      </c>
      <c r="B989" t="s">
        <v>1401</v>
      </c>
      <c r="C989" s="16" t="s">
        <v>1399</v>
      </c>
      <c r="D989" s="130" t="s">
        <v>993</v>
      </c>
      <c r="E989" s="131" t="s">
        <v>1600</v>
      </c>
      <c r="F989" s="131" t="s">
        <v>1601</v>
      </c>
      <c r="G989" s="132" t="s">
        <v>42</v>
      </c>
      <c r="H989" s="148">
        <v>40</v>
      </c>
      <c r="I989" s="148">
        <f t="shared" ref="I989:I1001" si="130">+H989</f>
        <v>40</v>
      </c>
      <c r="J989" s="149">
        <v>13527</v>
      </c>
      <c r="K989" s="149">
        <f t="shared" si="128"/>
        <v>541080</v>
      </c>
      <c r="L989" s="149"/>
      <c r="M989" s="149"/>
      <c r="N989" s="149">
        <f t="shared" si="129"/>
        <v>541080</v>
      </c>
      <c r="O989" s="149"/>
      <c r="P989" s="153"/>
    </row>
    <row r="990" spans="1:17" s="1" customFormat="1" x14ac:dyDescent="0.2">
      <c r="A990" t="s">
        <v>1400</v>
      </c>
      <c r="B990" t="s">
        <v>1401</v>
      </c>
      <c r="C990" s="16" t="s">
        <v>1399</v>
      </c>
      <c r="D990" s="130" t="s">
        <v>999</v>
      </c>
      <c r="E990" s="131" t="s">
        <v>1602</v>
      </c>
      <c r="F990" s="131" t="s">
        <v>1603</v>
      </c>
      <c r="G990" s="132" t="s">
        <v>42</v>
      </c>
      <c r="H990" s="148">
        <v>44</v>
      </c>
      <c r="I990" s="148">
        <f t="shared" si="130"/>
        <v>44</v>
      </c>
      <c r="J990" s="149">
        <v>8432</v>
      </c>
      <c r="K990" s="149">
        <f t="shared" si="128"/>
        <v>371008</v>
      </c>
      <c r="L990" s="149"/>
      <c r="M990" s="149"/>
      <c r="N990" s="149">
        <f t="shared" si="129"/>
        <v>371008</v>
      </c>
      <c r="O990" s="149"/>
      <c r="P990" s="153"/>
    </row>
    <row r="991" spans="1:17" s="1" customFormat="1" x14ac:dyDescent="0.2">
      <c r="A991" t="s">
        <v>1400</v>
      </c>
      <c r="B991" t="s">
        <v>1401</v>
      </c>
      <c r="C991" s="16" t="s">
        <v>1399</v>
      </c>
      <c r="D991" s="130" t="s">
        <v>1002</v>
      </c>
      <c r="E991" s="131" t="s">
        <v>1604</v>
      </c>
      <c r="F991" s="131" t="s">
        <v>1605</v>
      </c>
      <c r="G991" s="132" t="s">
        <v>42</v>
      </c>
      <c r="H991" s="148">
        <v>252</v>
      </c>
      <c r="I991" s="148">
        <f t="shared" si="130"/>
        <v>252</v>
      </c>
      <c r="J991" s="149">
        <v>1893</v>
      </c>
      <c r="K991" s="149">
        <f t="shared" si="128"/>
        <v>477036</v>
      </c>
      <c r="L991" s="149"/>
      <c r="M991" s="149"/>
      <c r="N991" s="149">
        <f t="shared" si="129"/>
        <v>477036</v>
      </c>
      <c r="O991" s="149"/>
      <c r="P991" s="153"/>
    </row>
    <row r="992" spans="1:17" s="1" customFormat="1" x14ac:dyDescent="0.2">
      <c r="A992" t="s">
        <v>1400</v>
      </c>
      <c r="B992" t="s">
        <v>1401</v>
      </c>
      <c r="C992" s="16" t="s">
        <v>1399</v>
      </c>
      <c r="D992" s="130" t="s">
        <v>1007</v>
      </c>
      <c r="E992" s="131" t="s">
        <v>1606</v>
      </c>
      <c r="F992" s="131" t="s">
        <v>1607</v>
      </c>
      <c r="G992" s="132" t="s">
        <v>42</v>
      </c>
      <c r="H992" s="148">
        <v>50</v>
      </c>
      <c r="I992" s="148">
        <f t="shared" si="130"/>
        <v>50</v>
      </c>
      <c r="J992" s="149">
        <v>13500</v>
      </c>
      <c r="K992" s="149">
        <f t="shared" si="128"/>
        <v>675000</v>
      </c>
      <c r="L992" s="149"/>
      <c r="M992" s="149"/>
      <c r="N992" s="149">
        <f t="shared" si="129"/>
        <v>675000</v>
      </c>
      <c r="O992" s="149"/>
      <c r="P992" s="153"/>
    </row>
    <row r="993" spans="1:17" s="1" customFormat="1" x14ac:dyDescent="0.2">
      <c r="A993" t="s">
        <v>1400</v>
      </c>
      <c r="B993" t="s">
        <v>1401</v>
      </c>
      <c r="C993" s="16" t="s">
        <v>1399</v>
      </c>
      <c r="D993" s="130" t="s">
        <v>1014</v>
      </c>
      <c r="E993" s="131" t="s">
        <v>1608</v>
      </c>
      <c r="F993" s="131" t="s">
        <v>1609</v>
      </c>
      <c r="G993" s="132" t="s">
        <v>42</v>
      </c>
      <c r="H993" s="148">
        <v>36</v>
      </c>
      <c r="I993" s="148">
        <f t="shared" si="130"/>
        <v>36</v>
      </c>
      <c r="J993" s="149">
        <v>8170</v>
      </c>
      <c r="K993" s="149">
        <f t="shared" si="128"/>
        <v>294120</v>
      </c>
      <c r="L993" s="149"/>
      <c r="M993" s="149"/>
      <c r="N993" s="149">
        <f t="shared" si="129"/>
        <v>294120</v>
      </c>
      <c r="O993" s="149"/>
      <c r="P993" s="153"/>
    </row>
    <row r="994" spans="1:17" s="1" customFormat="1" x14ac:dyDescent="0.2">
      <c r="A994" t="s">
        <v>1400</v>
      </c>
      <c r="B994" t="s">
        <v>1401</v>
      </c>
      <c r="C994" s="16" t="s">
        <v>1399</v>
      </c>
      <c r="D994" s="130" t="s">
        <v>1027</v>
      </c>
      <c r="E994" s="131" t="s">
        <v>1610</v>
      </c>
      <c r="F994" s="131" t="s">
        <v>1611</v>
      </c>
      <c r="G994" s="132" t="s">
        <v>42</v>
      </c>
      <c r="H994" s="148">
        <v>297</v>
      </c>
      <c r="I994" s="148">
        <f t="shared" si="130"/>
        <v>297</v>
      </c>
      <c r="J994" s="149">
        <v>3586</v>
      </c>
      <c r="K994" s="149">
        <f t="shared" si="128"/>
        <v>1065042</v>
      </c>
      <c r="L994" s="149"/>
      <c r="M994" s="149"/>
      <c r="N994" s="149">
        <f t="shared" si="129"/>
        <v>1065042</v>
      </c>
      <c r="O994" s="149"/>
      <c r="P994" s="153"/>
    </row>
    <row r="995" spans="1:17" s="1" customFormat="1" x14ac:dyDescent="0.2">
      <c r="A995" t="s">
        <v>1400</v>
      </c>
      <c r="B995" t="s">
        <v>1401</v>
      </c>
      <c r="C995" s="16" t="s">
        <v>1399</v>
      </c>
      <c r="D995" s="130" t="s">
        <v>1034</v>
      </c>
      <c r="E995" s="131" t="s">
        <v>1612</v>
      </c>
      <c r="F995" s="131" t="s">
        <v>1613</v>
      </c>
      <c r="G995" s="132" t="s">
        <v>42</v>
      </c>
      <c r="H995" s="148">
        <v>36</v>
      </c>
      <c r="I995" s="148">
        <f t="shared" si="130"/>
        <v>36</v>
      </c>
      <c r="J995" s="149">
        <v>13500</v>
      </c>
      <c r="K995" s="149">
        <f t="shared" si="128"/>
        <v>486000</v>
      </c>
      <c r="L995" s="149"/>
      <c r="M995" s="149"/>
      <c r="N995" s="149">
        <f t="shared" si="129"/>
        <v>486000</v>
      </c>
      <c r="O995" s="149"/>
      <c r="P995" s="153"/>
    </row>
    <row r="996" spans="1:17" s="1" customFormat="1" x14ac:dyDescent="0.2">
      <c r="A996" t="s">
        <v>1400</v>
      </c>
      <c r="B996" t="s">
        <v>1401</v>
      </c>
      <c r="C996" s="16" t="s">
        <v>1399</v>
      </c>
      <c r="D996" s="130" t="s">
        <v>1037</v>
      </c>
      <c r="E996" s="131" t="s">
        <v>1614</v>
      </c>
      <c r="F996" s="131" t="s">
        <v>1615</v>
      </c>
      <c r="G996" s="132" t="s">
        <v>42</v>
      </c>
      <c r="H996" s="148">
        <v>36</v>
      </c>
      <c r="I996" s="148">
        <f t="shared" si="130"/>
        <v>36</v>
      </c>
      <c r="J996" s="149">
        <v>3214</v>
      </c>
      <c r="K996" s="149">
        <f t="shared" si="128"/>
        <v>115704</v>
      </c>
      <c r="L996" s="149"/>
      <c r="M996" s="149"/>
      <c r="N996" s="149">
        <f t="shared" si="129"/>
        <v>115704</v>
      </c>
      <c r="O996" s="149"/>
      <c r="P996" s="153"/>
    </row>
    <row r="997" spans="1:17" s="1" customFormat="1" x14ac:dyDescent="0.2">
      <c r="A997" t="s">
        <v>1400</v>
      </c>
      <c r="B997" t="s">
        <v>1401</v>
      </c>
      <c r="C997" s="16" t="s">
        <v>1399</v>
      </c>
      <c r="D997" s="130" t="s">
        <v>1042</v>
      </c>
      <c r="E997" s="131" t="s">
        <v>1616</v>
      </c>
      <c r="F997" s="131" t="s">
        <v>1617</v>
      </c>
      <c r="G997" s="132" t="s">
        <v>42</v>
      </c>
      <c r="H997" s="148">
        <v>108</v>
      </c>
      <c r="I997" s="148">
        <f t="shared" si="130"/>
        <v>108</v>
      </c>
      <c r="J997" s="149">
        <v>3830</v>
      </c>
      <c r="K997" s="149">
        <f t="shared" si="128"/>
        <v>413640</v>
      </c>
      <c r="L997" s="149"/>
      <c r="M997" s="149"/>
      <c r="N997" s="149">
        <f t="shared" si="129"/>
        <v>413640</v>
      </c>
      <c r="O997" s="149"/>
      <c r="P997" s="153"/>
    </row>
    <row r="998" spans="1:17" s="1" customFormat="1" x14ac:dyDescent="0.2">
      <c r="A998" t="s">
        <v>1400</v>
      </c>
      <c r="B998" t="s">
        <v>1401</v>
      </c>
      <c r="C998" s="16" t="s">
        <v>1399</v>
      </c>
      <c r="D998" s="130" t="s">
        <v>1045</v>
      </c>
      <c r="E998" s="131" t="s">
        <v>1618</v>
      </c>
      <c r="F998" s="131" t="s">
        <v>1619</v>
      </c>
      <c r="G998" s="132" t="s">
        <v>42</v>
      </c>
      <c r="H998" s="148">
        <v>12</v>
      </c>
      <c r="I998" s="148">
        <f t="shared" si="130"/>
        <v>12</v>
      </c>
      <c r="J998" s="149">
        <v>46604</v>
      </c>
      <c r="K998" s="149">
        <f t="shared" si="128"/>
        <v>559248</v>
      </c>
      <c r="L998" s="149"/>
      <c r="M998" s="149"/>
      <c r="N998" s="149">
        <f t="shared" si="129"/>
        <v>559248</v>
      </c>
      <c r="O998" s="149"/>
      <c r="P998" s="153"/>
    </row>
    <row r="999" spans="1:17" s="1" customFormat="1" x14ac:dyDescent="0.2">
      <c r="A999" t="s">
        <v>1400</v>
      </c>
      <c r="B999" t="s">
        <v>1401</v>
      </c>
      <c r="C999" s="16" t="s">
        <v>1399</v>
      </c>
      <c r="D999" s="130" t="s">
        <v>1054</v>
      </c>
      <c r="E999" s="131" t="s">
        <v>1620</v>
      </c>
      <c r="F999" s="131" t="s">
        <v>1621</v>
      </c>
      <c r="G999" s="132" t="s">
        <v>42</v>
      </c>
      <c r="H999" s="148">
        <v>784</v>
      </c>
      <c r="I999" s="148">
        <f t="shared" si="130"/>
        <v>784</v>
      </c>
      <c r="J999" s="149">
        <v>5000</v>
      </c>
      <c r="K999" s="149">
        <f t="shared" si="128"/>
        <v>3920000</v>
      </c>
      <c r="L999" s="149"/>
      <c r="M999" s="149"/>
      <c r="N999" s="149">
        <f t="shared" si="129"/>
        <v>3920000</v>
      </c>
      <c r="O999" s="149"/>
      <c r="P999" s="153"/>
    </row>
    <row r="1000" spans="1:17" s="1" customFormat="1" x14ac:dyDescent="0.2">
      <c r="A1000" t="s">
        <v>1400</v>
      </c>
      <c r="B1000" t="s">
        <v>1401</v>
      </c>
      <c r="C1000" s="16" t="s">
        <v>1399</v>
      </c>
      <c r="D1000" s="130" t="s">
        <v>1061</v>
      </c>
      <c r="E1000" s="131" t="s">
        <v>1622</v>
      </c>
      <c r="F1000" s="131" t="s">
        <v>1623</v>
      </c>
      <c r="G1000" s="132" t="s">
        <v>42</v>
      </c>
      <c r="H1000" s="148">
        <v>540</v>
      </c>
      <c r="I1000" s="148">
        <f t="shared" si="130"/>
        <v>540</v>
      </c>
      <c r="J1000" s="149">
        <v>2500</v>
      </c>
      <c r="K1000" s="149">
        <f t="shared" si="128"/>
        <v>1350000</v>
      </c>
      <c r="L1000" s="149"/>
      <c r="M1000" s="149"/>
      <c r="N1000" s="149">
        <f t="shared" si="129"/>
        <v>1350000</v>
      </c>
      <c r="O1000" s="149"/>
      <c r="P1000" s="153"/>
    </row>
    <row r="1001" spans="1:17" s="1" customFormat="1" x14ac:dyDescent="0.2">
      <c r="A1001" t="s">
        <v>1400</v>
      </c>
      <c r="B1001" t="s">
        <v>1401</v>
      </c>
      <c r="C1001" s="16" t="s">
        <v>1399</v>
      </c>
      <c r="D1001" s="130" t="s">
        <v>262</v>
      </c>
      <c r="E1001" s="131" t="s">
        <v>1624</v>
      </c>
      <c r="F1001" s="131" t="s">
        <v>1625</v>
      </c>
      <c r="G1001" s="132" t="s">
        <v>42</v>
      </c>
      <c r="H1001" s="148">
        <v>36</v>
      </c>
      <c r="I1001" s="148">
        <f t="shared" si="130"/>
        <v>36</v>
      </c>
      <c r="J1001" s="149">
        <v>21473</v>
      </c>
      <c r="K1001" s="149">
        <f t="shared" si="128"/>
        <v>773028</v>
      </c>
      <c r="L1001" s="149"/>
      <c r="M1001" s="149"/>
      <c r="N1001" s="149">
        <f t="shared" si="129"/>
        <v>773028</v>
      </c>
      <c r="O1001" s="149"/>
      <c r="P1001" s="153"/>
    </row>
    <row r="1002" spans="1:17" ht="15.75" x14ac:dyDescent="0.25">
      <c r="A1002" t="s">
        <v>1400</v>
      </c>
      <c r="B1002" t="s">
        <v>1401</v>
      </c>
      <c r="D1002" s="151" t="s">
        <v>1626</v>
      </c>
      <c r="E1002" s="128"/>
      <c r="F1002" s="128"/>
      <c r="G1002" s="128"/>
      <c r="H1002" s="128"/>
      <c r="I1002" s="128"/>
      <c r="J1002" s="149"/>
      <c r="K1002" s="149"/>
      <c r="L1002" s="149"/>
      <c r="M1002" s="149"/>
      <c r="N1002" s="149"/>
      <c r="O1002" s="149"/>
      <c r="P1002" s="152"/>
    </row>
    <row r="1003" spans="1:17" s="1" customFormat="1" ht="25.5" x14ac:dyDescent="0.2">
      <c r="A1003" t="s">
        <v>1400</v>
      </c>
      <c r="B1003" t="s">
        <v>1401</v>
      </c>
      <c r="C1003" s="12" t="s">
        <v>1397</v>
      </c>
      <c r="D1003" s="130" t="s">
        <v>1074</v>
      </c>
      <c r="E1003" s="131" t="s">
        <v>1627</v>
      </c>
      <c r="F1003" s="131" t="s">
        <v>1628</v>
      </c>
      <c r="G1003" s="132" t="s">
        <v>638</v>
      </c>
      <c r="H1003" s="133">
        <v>0.06</v>
      </c>
      <c r="I1003" s="133"/>
      <c r="J1003" s="149"/>
      <c r="K1003" s="149"/>
      <c r="L1003" s="149"/>
      <c r="M1003" s="149"/>
      <c r="N1003" s="149"/>
      <c r="O1003" s="149"/>
      <c r="P1003" s="153"/>
      <c r="Q1003" s="35"/>
    </row>
    <row r="1004" spans="1:17" s="14" customFormat="1" x14ac:dyDescent="0.2">
      <c r="A1004" t="s">
        <v>1400</v>
      </c>
      <c r="B1004" t="s">
        <v>1401</v>
      </c>
      <c r="C1004" s="14" t="s">
        <v>24</v>
      </c>
      <c r="D1004" s="134" t="s">
        <v>1077</v>
      </c>
      <c r="E1004" s="135" t="s">
        <v>18</v>
      </c>
      <c r="F1004" s="136" t="s">
        <v>23</v>
      </c>
      <c r="G1004" s="135" t="s">
        <v>24</v>
      </c>
      <c r="H1004" s="137">
        <v>24.56</v>
      </c>
      <c r="I1004" s="137">
        <v>1.4736</v>
      </c>
      <c r="J1004" s="149">
        <v>22914.53</v>
      </c>
      <c r="K1004" s="149">
        <f t="shared" ref="K1004:K1006" si="131">+J1004*I1004</f>
        <v>33766.851408000002</v>
      </c>
      <c r="L1004" s="149">
        <f>+J1004*I1004</f>
        <v>33766.851408000002</v>
      </c>
      <c r="M1004" s="149"/>
      <c r="N1004" s="149"/>
      <c r="O1004" s="149"/>
      <c r="P1004" s="154"/>
    </row>
    <row r="1005" spans="1:17" s="15" customFormat="1" x14ac:dyDescent="0.2">
      <c r="A1005" t="s">
        <v>1400</v>
      </c>
      <c r="B1005" t="s">
        <v>1401</v>
      </c>
      <c r="C1005" s="15" t="s">
        <v>28</v>
      </c>
      <c r="D1005" s="138" t="s">
        <v>1078</v>
      </c>
      <c r="E1005" s="139" t="s">
        <v>193</v>
      </c>
      <c r="F1005" s="140" t="s">
        <v>31</v>
      </c>
      <c r="G1005" s="139" t="s">
        <v>28</v>
      </c>
      <c r="H1005" s="141">
        <v>0.1</v>
      </c>
      <c r="I1005" s="141">
        <v>6.0000000000000001E-3</v>
      </c>
      <c r="J1005" s="149">
        <v>106655</v>
      </c>
      <c r="K1005" s="149">
        <f t="shared" si="131"/>
        <v>639.93000000000006</v>
      </c>
      <c r="L1005" s="149"/>
      <c r="M1005" s="149">
        <f>+J1005*I1005</f>
        <v>639.93000000000006</v>
      </c>
      <c r="N1005" s="149"/>
      <c r="O1005" s="149"/>
      <c r="P1005" s="155"/>
    </row>
    <row r="1006" spans="1:17" s="16" customFormat="1" x14ac:dyDescent="0.2">
      <c r="A1006" t="s">
        <v>1400</v>
      </c>
      <c r="B1006" t="s">
        <v>1401</v>
      </c>
      <c r="C1006" s="16" t="s">
        <v>1399</v>
      </c>
      <c r="D1006" s="142" t="s">
        <v>1081</v>
      </c>
      <c r="E1006" s="143" t="s">
        <v>1629</v>
      </c>
      <c r="F1006" s="144" t="s">
        <v>1630</v>
      </c>
      <c r="G1006" s="143" t="s">
        <v>69</v>
      </c>
      <c r="H1006" s="146">
        <v>99.8</v>
      </c>
      <c r="I1006" s="146">
        <v>5.9880000000000004</v>
      </c>
      <c r="J1006" s="149">
        <v>10300</v>
      </c>
      <c r="K1006" s="149">
        <f t="shared" si="131"/>
        <v>61676.4</v>
      </c>
      <c r="L1006" s="149"/>
      <c r="M1006" s="149"/>
      <c r="N1006" s="149">
        <f t="shared" ref="N1006" si="132">+J1006*I1006</f>
        <v>61676.4</v>
      </c>
      <c r="O1006" s="149"/>
      <c r="P1006" s="156"/>
    </row>
    <row r="1007" spans="1:17" s="1" customFormat="1" x14ac:dyDescent="0.2">
      <c r="A1007" t="s">
        <v>1400</v>
      </c>
      <c r="B1007" t="s">
        <v>1401</v>
      </c>
      <c r="C1007" s="16" t="s">
        <v>1399</v>
      </c>
      <c r="D1007" s="130" t="s">
        <v>1085</v>
      </c>
      <c r="E1007" s="131" t="s">
        <v>1604</v>
      </c>
      <c r="F1007" s="131" t="s">
        <v>1605</v>
      </c>
      <c r="G1007" s="132" t="s">
        <v>42</v>
      </c>
      <c r="H1007" s="148">
        <v>3</v>
      </c>
      <c r="I1007" s="148">
        <f>+H1007</f>
        <v>3</v>
      </c>
      <c r="J1007" s="149">
        <v>1893</v>
      </c>
      <c r="K1007" s="149">
        <f>+J1007*I1007</f>
        <v>5679</v>
      </c>
      <c r="L1007" s="149"/>
      <c r="M1007" s="149"/>
      <c r="N1007" s="149">
        <f>+J1007*I1007</f>
        <v>5679</v>
      </c>
      <c r="O1007" s="149"/>
      <c r="P1007" s="153"/>
    </row>
    <row r="1008" spans="1:17" s="1" customFormat="1" x14ac:dyDescent="0.2">
      <c r="A1008" t="s">
        <v>1400</v>
      </c>
      <c r="B1008" t="s">
        <v>1401</v>
      </c>
      <c r="C1008" s="12" t="s">
        <v>1397</v>
      </c>
      <c r="D1008" s="130" t="s">
        <v>1087</v>
      </c>
      <c r="E1008" s="131" t="s">
        <v>1440</v>
      </c>
      <c r="F1008" s="131" t="s">
        <v>1441</v>
      </c>
      <c r="G1008" s="132" t="s">
        <v>1442</v>
      </c>
      <c r="H1008" s="148">
        <v>1</v>
      </c>
      <c r="I1008" s="148"/>
      <c r="J1008" s="149"/>
      <c r="K1008" s="149"/>
      <c r="L1008" s="149"/>
      <c r="M1008" s="149"/>
      <c r="N1008" s="149"/>
      <c r="O1008" s="149"/>
      <c r="P1008" s="153"/>
      <c r="Q1008" s="35"/>
    </row>
    <row r="1009" spans="1:17" s="14" customFormat="1" x14ac:dyDescent="0.2">
      <c r="A1009" t="s">
        <v>1400</v>
      </c>
      <c r="B1009" t="s">
        <v>1401</v>
      </c>
      <c r="C1009" s="14" t="s">
        <v>24</v>
      </c>
      <c r="D1009" s="134" t="s">
        <v>1631</v>
      </c>
      <c r="E1009" s="135" t="s">
        <v>18</v>
      </c>
      <c r="F1009" s="136" t="s">
        <v>23</v>
      </c>
      <c r="G1009" s="135" t="s">
        <v>24</v>
      </c>
      <c r="H1009" s="137">
        <v>6.69</v>
      </c>
      <c r="I1009" s="137">
        <v>6.69</v>
      </c>
      <c r="J1009" s="149">
        <v>22914.53</v>
      </c>
      <c r="K1009" s="149">
        <f t="shared" ref="K1009:K1013" si="133">+J1009*I1009</f>
        <v>153298.20569999999</v>
      </c>
      <c r="L1009" s="149">
        <f>+J1009*I1009</f>
        <v>153298.20569999999</v>
      </c>
      <c r="M1009" s="149"/>
      <c r="N1009" s="149"/>
      <c r="O1009" s="149"/>
      <c r="P1009" s="154"/>
    </row>
    <row r="1010" spans="1:17" s="15" customFormat="1" x14ac:dyDescent="0.2">
      <c r="A1010" t="s">
        <v>1400</v>
      </c>
      <c r="B1010" t="s">
        <v>1401</v>
      </c>
      <c r="C1010" s="15" t="s">
        <v>28</v>
      </c>
      <c r="D1010" s="138" t="s">
        <v>1632</v>
      </c>
      <c r="E1010" s="139" t="s">
        <v>30</v>
      </c>
      <c r="F1010" s="140" t="s">
        <v>31</v>
      </c>
      <c r="G1010" s="139" t="s">
        <v>28</v>
      </c>
      <c r="H1010" s="141">
        <v>0.08</v>
      </c>
      <c r="I1010" s="141">
        <v>0.08</v>
      </c>
      <c r="J1010" s="149">
        <v>106655</v>
      </c>
      <c r="K1010" s="149">
        <f t="shared" si="133"/>
        <v>8532.4</v>
      </c>
      <c r="L1010" s="149"/>
      <c r="M1010" s="149">
        <f t="shared" ref="M1010:M1011" si="134">+J1010*I1010</f>
        <v>8532.4</v>
      </c>
      <c r="N1010" s="149"/>
      <c r="O1010" s="149"/>
      <c r="P1010" s="155"/>
    </row>
    <row r="1011" spans="1:17" s="15" customFormat="1" x14ac:dyDescent="0.2">
      <c r="A1011" t="s">
        <v>1400</v>
      </c>
      <c r="B1011" t="s">
        <v>1401</v>
      </c>
      <c r="C1011" s="15" t="s">
        <v>28</v>
      </c>
      <c r="D1011" s="138" t="s">
        <v>1633</v>
      </c>
      <c r="E1011" s="139" t="s">
        <v>33</v>
      </c>
      <c r="F1011" s="140" t="s">
        <v>34</v>
      </c>
      <c r="G1011" s="139" t="s">
        <v>28</v>
      </c>
      <c r="H1011" s="141">
        <v>0.17</v>
      </c>
      <c r="I1011" s="141">
        <v>0.17</v>
      </c>
      <c r="J1011" s="149">
        <v>1732</v>
      </c>
      <c r="K1011" s="149">
        <f t="shared" si="133"/>
        <v>294.44</v>
      </c>
      <c r="L1011" s="149"/>
      <c r="M1011" s="149">
        <f t="shared" si="134"/>
        <v>294.44</v>
      </c>
      <c r="N1011" s="149"/>
      <c r="O1011" s="149"/>
      <c r="P1011" s="155"/>
    </row>
    <row r="1012" spans="1:17" s="1" customFormat="1" x14ac:dyDescent="0.2">
      <c r="A1012" t="s">
        <v>1400</v>
      </c>
      <c r="B1012" t="s">
        <v>1401</v>
      </c>
      <c r="C1012" s="1" t="s">
        <v>1443</v>
      </c>
      <c r="D1012" s="130" t="s">
        <v>1089</v>
      </c>
      <c r="E1012" s="131" t="s">
        <v>1634</v>
      </c>
      <c r="F1012" s="131" t="s">
        <v>1635</v>
      </c>
      <c r="G1012" s="132" t="s">
        <v>42</v>
      </c>
      <c r="H1012" s="148">
        <v>1</v>
      </c>
      <c r="I1012" s="148">
        <f t="shared" ref="I1012:I1013" si="135">+H1012</f>
        <v>1</v>
      </c>
      <c r="J1012" s="149">
        <v>2057143</v>
      </c>
      <c r="K1012" s="149">
        <f t="shared" si="133"/>
        <v>2057143</v>
      </c>
      <c r="L1012" s="149"/>
      <c r="M1012" s="149"/>
      <c r="N1012" s="149"/>
      <c r="O1012" s="157"/>
      <c r="P1012" s="167">
        <f t="shared" ref="P1012" si="136">+J1012*I1012</f>
        <v>2057143</v>
      </c>
    </row>
    <row r="1013" spans="1:17" s="1" customFormat="1" x14ac:dyDescent="0.2">
      <c r="A1013" t="s">
        <v>1400</v>
      </c>
      <c r="B1013" t="s">
        <v>1401</v>
      </c>
      <c r="C1013" s="16" t="s">
        <v>1399</v>
      </c>
      <c r="D1013" s="130" t="s">
        <v>1091</v>
      </c>
      <c r="E1013" s="131" t="s">
        <v>1636</v>
      </c>
      <c r="F1013" s="131" t="s">
        <v>1637</v>
      </c>
      <c r="G1013" s="132" t="s">
        <v>42</v>
      </c>
      <c r="H1013" s="148">
        <v>1</v>
      </c>
      <c r="I1013" s="148">
        <f t="shared" si="135"/>
        <v>1</v>
      </c>
      <c r="J1013" s="149">
        <v>200000</v>
      </c>
      <c r="K1013" s="149">
        <f t="shared" si="133"/>
        <v>200000</v>
      </c>
      <c r="L1013" s="149"/>
      <c r="M1013" s="149"/>
      <c r="N1013" s="149">
        <f t="shared" ref="N1013" si="137">+J1013*I1013</f>
        <v>200000</v>
      </c>
      <c r="O1013" s="149"/>
      <c r="P1013" s="153"/>
    </row>
    <row r="1014" spans="1:17" ht="15.75" x14ac:dyDescent="0.25">
      <c r="A1014" t="s">
        <v>1400</v>
      </c>
      <c r="B1014" t="s">
        <v>1401</v>
      </c>
      <c r="D1014" s="151" t="s">
        <v>1638</v>
      </c>
      <c r="E1014" s="128"/>
      <c r="F1014" s="128"/>
      <c r="G1014" s="128"/>
      <c r="H1014" s="128"/>
      <c r="I1014" s="128"/>
      <c r="J1014" s="149"/>
      <c r="K1014" s="149"/>
      <c r="L1014" s="149"/>
      <c r="M1014" s="149"/>
      <c r="N1014" s="149"/>
      <c r="O1014" s="149"/>
      <c r="P1014" s="152"/>
    </row>
    <row r="1015" spans="1:17" s="1" customFormat="1" ht="38.25" x14ac:dyDescent="0.2">
      <c r="A1015" t="s">
        <v>1400</v>
      </c>
      <c r="B1015" t="s">
        <v>1401</v>
      </c>
      <c r="C1015" s="12" t="s">
        <v>1397</v>
      </c>
      <c r="D1015" s="130" t="s">
        <v>1094</v>
      </c>
      <c r="E1015" s="131" t="s">
        <v>1639</v>
      </c>
      <c r="F1015" s="131" t="s">
        <v>1640</v>
      </c>
      <c r="G1015" s="132" t="s">
        <v>1641</v>
      </c>
      <c r="H1015" s="133">
        <v>7.2</v>
      </c>
      <c r="I1015" s="133"/>
      <c r="J1015" s="149"/>
      <c r="K1015" s="149"/>
      <c r="L1015" s="149"/>
      <c r="M1015" s="149"/>
      <c r="N1015" s="149"/>
      <c r="O1015" s="149"/>
      <c r="P1015" s="153"/>
      <c r="Q1015" s="35"/>
    </row>
    <row r="1016" spans="1:17" s="14" customFormat="1" x14ac:dyDescent="0.2">
      <c r="A1016" t="s">
        <v>1400</v>
      </c>
      <c r="B1016" t="s">
        <v>1401</v>
      </c>
      <c r="C1016" s="14" t="s">
        <v>24</v>
      </c>
      <c r="D1016" s="134" t="s">
        <v>1642</v>
      </c>
      <c r="E1016" s="135" t="s">
        <v>18</v>
      </c>
      <c r="F1016" s="136" t="s">
        <v>23</v>
      </c>
      <c r="G1016" s="135" t="s">
        <v>24</v>
      </c>
      <c r="H1016" s="137">
        <v>21.65</v>
      </c>
      <c r="I1016" s="137">
        <v>155.88</v>
      </c>
      <c r="J1016" s="149">
        <v>22914.53</v>
      </c>
      <c r="K1016" s="149">
        <f t="shared" ref="K1016:K1021" si="138">+J1016*I1016</f>
        <v>3571916.9363999995</v>
      </c>
      <c r="L1016" s="149">
        <f>+J1016*I1016</f>
        <v>3571916.9363999995</v>
      </c>
      <c r="M1016" s="149"/>
      <c r="N1016" s="149"/>
      <c r="O1016" s="149"/>
      <c r="P1016" s="154"/>
    </row>
    <row r="1017" spans="1:17" s="15" customFormat="1" x14ac:dyDescent="0.2">
      <c r="A1017" t="s">
        <v>1400</v>
      </c>
      <c r="B1017" t="s">
        <v>1401</v>
      </c>
      <c r="C1017" s="15" t="s">
        <v>28</v>
      </c>
      <c r="D1017" s="138" t="s">
        <v>1643</v>
      </c>
      <c r="E1017" s="139" t="s">
        <v>213</v>
      </c>
      <c r="F1017" s="140" t="s">
        <v>214</v>
      </c>
      <c r="G1017" s="139" t="s">
        <v>28</v>
      </c>
      <c r="H1017" s="141">
        <v>0.2</v>
      </c>
      <c r="I1017" s="141">
        <v>1.44</v>
      </c>
      <c r="J1017" s="149">
        <v>1399</v>
      </c>
      <c r="K1017" s="149">
        <f t="shared" si="138"/>
        <v>2014.56</v>
      </c>
      <c r="L1017" s="149"/>
      <c r="M1017" s="149">
        <f t="shared" ref="M1017:M1018" si="139">+J1017*I1017</f>
        <v>2014.56</v>
      </c>
      <c r="N1017" s="149"/>
      <c r="O1017" s="149"/>
      <c r="P1017" s="155"/>
    </row>
    <row r="1018" spans="1:17" s="15" customFormat="1" x14ac:dyDescent="0.2">
      <c r="A1018" t="s">
        <v>1400</v>
      </c>
      <c r="B1018" t="s">
        <v>1401</v>
      </c>
      <c r="C1018" s="15" t="s">
        <v>28</v>
      </c>
      <c r="D1018" s="138" t="s">
        <v>1644</v>
      </c>
      <c r="E1018" s="139" t="s">
        <v>30</v>
      </c>
      <c r="F1018" s="140" t="s">
        <v>31</v>
      </c>
      <c r="G1018" s="139" t="s">
        <v>28</v>
      </c>
      <c r="H1018" s="141">
        <v>0.22</v>
      </c>
      <c r="I1018" s="141">
        <v>1.5840000000000001</v>
      </c>
      <c r="J1018" s="149">
        <v>106655</v>
      </c>
      <c r="K1018" s="149">
        <f t="shared" si="138"/>
        <v>168941.52000000002</v>
      </c>
      <c r="L1018" s="149"/>
      <c r="M1018" s="149">
        <f t="shared" si="139"/>
        <v>168941.52000000002</v>
      </c>
      <c r="N1018" s="149"/>
      <c r="O1018" s="149"/>
      <c r="P1018" s="155"/>
    </row>
    <row r="1019" spans="1:17" s="16" customFormat="1" x14ac:dyDescent="0.2">
      <c r="A1019" t="s">
        <v>1400</v>
      </c>
      <c r="B1019" t="s">
        <v>1401</v>
      </c>
      <c r="C1019" s="16" t="s">
        <v>1399</v>
      </c>
      <c r="D1019" s="142" t="s">
        <v>1645</v>
      </c>
      <c r="E1019" s="143" t="s">
        <v>1646</v>
      </c>
      <c r="F1019" s="144" t="s">
        <v>1647</v>
      </c>
      <c r="G1019" s="143" t="s">
        <v>1648</v>
      </c>
      <c r="H1019" s="145">
        <v>20</v>
      </c>
      <c r="I1019" s="145">
        <v>144</v>
      </c>
      <c r="J1019" s="149">
        <v>10000</v>
      </c>
      <c r="K1019" s="149">
        <f t="shared" si="138"/>
        <v>1440000</v>
      </c>
      <c r="L1019" s="149"/>
      <c r="M1019" s="149"/>
      <c r="N1019" s="149">
        <f t="shared" ref="N1019:N1021" si="140">+J1019*I1019</f>
        <v>1440000</v>
      </c>
      <c r="O1019" s="149"/>
      <c r="P1019" s="156"/>
    </row>
    <row r="1020" spans="1:17" s="16" customFormat="1" x14ac:dyDescent="0.2">
      <c r="A1020" t="s">
        <v>1400</v>
      </c>
      <c r="B1020" t="s">
        <v>1401</v>
      </c>
      <c r="C1020" s="16" t="s">
        <v>1399</v>
      </c>
      <c r="D1020" s="142" t="s">
        <v>1649</v>
      </c>
      <c r="E1020" s="143" t="s">
        <v>1650</v>
      </c>
      <c r="F1020" s="144" t="s">
        <v>1651</v>
      </c>
      <c r="G1020" s="143" t="s">
        <v>660</v>
      </c>
      <c r="H1020" s="145">
        <v>4</v>
      </c>
      <c r="I1020" s="146">
        <v>28.8</v>
      </c>
      <c r="J1020" s="149">
        <v>1500</v>
      </c>
      <c r="K1020" s="149">
        <f t="shared" si="138"/>
        <v>43200</v>
      </c>
      <c r="L1020" s="149"/>
      <c r="M1020" s="149"/>
      <c r="N1020" s="149">
        <f t="shared" si="140"/>
        <v>43200</v>
      </c>
      <c r="O1020" s="149"/>
      <c r="P1020" s="156"/>
    </row>
    <row r="1021" spans="1:17" s="16" customFormat="1" x14ac:dyDescent="0.2">
      <c r="A1021" t="s">
        <v>1400</v>
      </c>
      <c r="B1021" t="s">
        <v>1401</v>
      </c>
      <c r="C1021" s="16" t="s">
        <v>1399</v>
      </c>
      <c r="D1021" s="142" t="s">
        <v>1652</v>
      </c>
      <c r="E1021" s="143" t="s">
        <v>1653</v>
      </c>
      <c r="F1021" s="144" t="s">
        <v>1654</v>
      </c>
      <c r="G1021" s="143" t="s">
        <v>42</v>
      </c>
      <c r="H1021" s="145">
        <v>10</v>
      </c>
      <c r="I1021" s="145">
        <v>72</v>
      </c>
      <c r="J1021" s="149">
        <v>220000</v>
      </c>
      <c r="K1021" s="149">
        <f t="shared" si="138"/>
        <v>15840000</v>
      </c>
      <c r="L1021" s="149"/>
      <c r="M1021" s="149"/>
      <c r="N1021" s="149">
        <f t="shared" si="140"/>
        <v>15840000</v>
      </c>
      <c r="O1021" s="149"/>
      <c r="P1021" s="156"/>
    </row>
    <row r="1022" spans="1:17" s="1" customFormat="1" ht="38.25" x14ac:dyDescent="0.2">
      <c r="A1022" t="s">
        <v>1400</v>
      </c>
      <c r="B1022" t="s">
        <v>1401</v>
      </c>
      <c r="C1022" s="12" t="s">
        <v>1397</v>
      </c>
      <c r="D1022" s="130" t="s">
        <v>1097</v>
      </c>
      <c r="E1022" s="131" t="s">
        <v>1655</v>
      </c>
      <c r="F1022" s="131" t="s">
        <v>1656</v>
      </c>
      <c r="G1022" s="132" t="s">
        <v>1641</v>
      </c>
      <c r="H1022" s="133">
        <v>3.6</v>
      </c>
      <c r="I1022" s="133"/>
      <c r="J1022" s="149"/>
      <c r="K1022" s="149"/>
      <c r="L1022" s="149"/>
      <c r="M1022" s="149"/>
      <c r="N1022" s="149"/>
      <c r="O1022" s="149"/>
      <c r="P1022" s="153"/>
      <c r="Q1022" s="35"/>
    </row>
    <row r="1023" spans="1:17" s="14" customFormat="1" x14ac:dyDescent="0.2">
      <c r="A1023" t="s">
        <v>1400</v>
      </c>
      <c r="B1023" t="s">
        <v>1401</v>
      </c>
      <c r="C1023" s="14" t="s">
        <v>24</v>
      </c>
      <c r="D1023" s="134" t="s">
        <v>1098</v>
      </c>
      <c r="E1023" s="135" t="s">
        <v>18</v>
      </c>
      <c r="F1023" s="136" t="s">
        <v>23</v>
      </c>
      <c r="G1023" s="135" t="s">
        <v>24</v>
      </c>
      <c r="H1023" s="137">
        <v>17.32</v>
      </c>
      <c r="I1023" s="137">
        <v>62.351999999999997</v>
      </c>
      <c r="J1023" s="149">
        <v>22914.53</v>
      </c>
      <c r="K1023" s="149">
        <f t="shared" ref="K1023:K1028" si="141">+J1023*I1023</f>
        <v>1428766.7745599998</v>
      </c>
      <c r="L1023" s="149">
        <f>+J1023*I1023</f>
        <v>1428766.7745599998</v>
      </c>
      <c r="M1023" s="149"/>
      <c r="N1023" s="149"/>
      <c r="O1023" s="149"/>
      <c r="P1023" s="154"/>
    </row>
    <row r="1024" spans="1:17" s="15" customFormat="1" x14ac:dyDescent="0.2">
      <c r="A1024" t="s">
        <v>1400</v>
      </c>
      <c r="B1024" t="s">
        <v>1401</v>
      </c>
      <c r="C1024" s="15" t="s">
        <v>28</v>
      </c>
      <c r="D1024" s="138" t="s">
        <v>1099</v>
      </c>
      <c r="E1024" s="139" t="s">
        <v>213</v>
      </c>
      <c r="F1024" s="140" t="s">
        <v>214</v>
      </c>
      <c r="G1024" s="139" t="s">
        <v>28</v>
      </c>
      <c r="H1024" s="141">
        <v>0.2</v>
      </c>
      <c r="I1024" s="141">
        <v>0.72</v>
      </c>
      <c r="J1024" s="149">
        <v>1399</v>
      </c>
      <c r="K1024" s="149">
        <f t="shared" si="141"/>
        <v>1007.28</v>
      </c>
      <c r="L1024" s="149"/>
      <c r="M1024" s="149">
        <f t="shared" ref="M1024:M1025" si="142">+J1024*I1024</f>
        <v>1007.28</v>
      </c>
      <c r="N1024" s="149"/>
      <c r="O1024" s="149"/>
      <c r="P1024" s="155"/>
    </row>
    <row r="1025" spans="1:17" s="15" customFormat="1" x14ac:dyDescent="0.2">
      <c r="A1025" t="s">
        <v>1400</v>
      </c>
      <c r="B1025" t="s">
        <v>1401</v>
      </c>
      <c r="C1025" s="15" t="s">
        <v>28</v>
      </c>
      <c r="D1025" s="138" t="s">
        <v>1100</v>
      </c>
      <c r="E1025" s="139" t="s">
        <v>30</v>
      </c>
      <c r="F1025" s="140" t="s">
        <v>31</v>
      </c>
      <c r="G1025" s="139" t="s">
        <v>28</v>
      </c>
      <c r="H1025" s="141">
        <v>0.14000000000000001</v>
      </c>
      <c r="I1025" s="141">
        <v>0.504</v>
      </c>
      <c r="J1025" s="149">
        <v>106655</v>
      </c>
      <c r="K1025" s="149">
        <f t="shared" si="141"/>
        <v>53754.12</v>
      </c>
      <c r="L1025" s="149"/>
      <c r="M1025" s="149">
        <f t="shared" si="142"/>
        <v>53754.12</v>
      </c>
      <c r="N1025" s="149"/>
      <c r="O1025" s="149"/>
      <c r="P1025" s="155"/>
    </row>
    <row r="1026" spans="1:17" s="16" customFormat="1" x14ac:dyDescent="0.2">
      <c r="A1026" t="s">
        <v>1400</v>
      </c>
      <c r="B1026" t="s">
        <v>1401</v>
      </c>
      <c r="C1026" s="16" t="s">
        <v>1399</v>
      </c>
      <c r="D1026" s="142" t="s">
        <v>1101</v>
      </c>
      <c r="E1026" s="143" t="s">
        <v>1650</v>
      </c>
      <c r="F1026" s="144" t="s">
        <v>1651</v>
      </c>
      <c r="G1026" s="143" t="s">
        <v>660</v>
      </c>
      <c r="H1026" s="145">
        <v>4</v>
      </c>
      <c r="I1026" s="146">
        <v>14.4</v>
      </c>
      <c r="J1026" s="149">
        <v>1500</v>
      </c>
      <c r="K1026" s="149">
        <f t="shared" si="141"/>
        <v>21600</v>
      </c>
      <c r="L1026" s="149"/>
      <c r="M1026" s="149"/>
      <c r="N1026" s="149">
        <f t="shared" ref="N1026:N1028" si="143">+J1026*I1026</f>
        <v>21600</v>
      </c>
      <c r="O1026" s="149"/>
      <c r="P1026" s="156"/>
    </row>
    <row r="1027" spans="1:17" s="16" customFormat="1" x14ac:dyDescent="0.2">
      <c r="A1027" t="s">
        <v>1400</v>
      </c>
      <c r="B1027" t="s">
        <v>1401</v>
      </c>
      <c r="C1027" s="16" t="s">
        <v>1399</v>
      </c>
      <c r="D1027" s="142" t="s">
        <v>1657</v>
      </c>
      <c r="E1027" s="143" t="s">
        <v>1658</v>
      </c>
      <c r="F1027" s="144" t="s">
        <v>1659</v>
      </c>
      <c r="G1027" s="143" t="s">
        <v>107</v>
      </c>
      <c r="H1027" s="146">
        <v>6.9999999999999999E-4</v>
      </c>
      <c r="I1027" s="146">
        <v>2.5200000000000001E-3</v>
      </c>
      <c r="J1027" s="149">
        <v>16072000</v>
      </c>
      <c r="K1027" s="149">
        <f t="shared" si="141"/>
        <v>40501.440000000002</v>
      </c>
      <c r="L1027" s="149"/>
      <c r="M1027" s="149"/>
      <c r="N1027" s="149">
        <f t="shared" si="143"/>
        <v>40501.440000000002</v>
      </c>
      <c r="O1027" s="149"/>
      <c r="P1027" s="156"/>
    </row>
    <row r="1028" spans="1:17" s="16" customFormat="1" x14ac:dyDescent="0.2">
      <c r="A1028" t="s">
        <v>1400</v>
      </c>
      <c r="B1028" t="s">
        <v>1401</v>
      </c>
      <c r="C1028" s="16" t="s">
        <v>1399</v>
      </c>
      <c r="D1028" s="142" t="s">
        <v>1660</v>
      </c>
      <c r="E1028" s="143" t="s">
        <v>1661</v>
      </c>
      <c r="F1028" s="144" t="s">
        <v>1662</v>
      </c>
      <c r="G1028" s="143" t="s">
        <v>1648</v>
      </c>
      <c r="H1028" s="145">
        <v>10</v>
      </c>
      <c r="I1028" s="145">
        <v>36</v>
      </c>
      <c r="J1028" s="149">
        <v>220000</v>
      </c>
      <c r="K1028" s="149">
        <f t="shared" si="141"/>
        <v>7920000</v>
      </c>
      <c r="L1028" s="149"/>
      <c r="M1028" s="149"/>
      <c r="N1028" s="149">
        <f t="shared" si="143"/>
        <v>7920000</v>
      </c>
      <c r="O1028" s="149"/>
      <c r="P1028" s="156"/>
    </row>
    <row r="1029" spans="1:17" s="1" customFormat="1" ht="38.25" x14ac:dyDescent="0.2">
      <c r="A1029" t="s">
        <v>1400</v>
      </c>
      <c r="B1029" t="s">
        <v>1401</v>
      </c>
      <c r="C1029" s="12" t="s">
        <v>1397</v>
      </c>
      <c r="D1029" s="130" t="s">
        <v>1102</v>
      </c>
      <c r="E1029" s="131" t="s">
        <v>1663</v>
      </c>
      <c r="F1029" s="131" t="s">
        <v>1664</v>
      </c>
      <c r="G1029" s="132" t="s">
        <v>1641</v>
      </c>
      <c r="H1029" s="133">
        <v>3.6</v>
      </c>
      <c r="I1029" s="133"/>
      <c r="J1029" s="149"/>
      <c r="K1029" s="149"/>
      <c r="L1029" s="149"/>
      <c r="M1029" s="149"/>
      <c r="N1029" s="149"/>
      <c r="O1029" s="149"/>
      <c r="P1029" s="153"/>
      <c r="Q1029" s="35"/>
    </row>
    <row r="1030" spans="1:17" s="14" customFormat="1" x14ac:dyDescent="0.2">
      <c r="A1030" t="s">
        <v>1400</v>
      </c>
      <c r="B1030" t="s">
        <v>1401</v>
      </c>
      <c r="C1030" s="14" t="s">
        <v>24</v>
      </c>
      <c r="D1030" s="134" t="s">
        <v>1103</v>
      </c>
      <c r="E1030" s="135" t="s">
        <v>18</v>
      </c>
      <c r="F1030" s="136" t="s">
        <v>23</v>
      </c>
      <c r="G1030" s="135" t="s">
        <v>24</v>
      </c>
      <c r="H1030" s="137">
        <v>18.04</v>
      </c>
      <c r="I1030" s="137">
        <v>64.944000000000003</v>
      </c>
      <c r="J1030" s="149">
        <v>22914.53</v>
      </c>
      <c r="K1030" s="149">
        <f t="shared" ref="K1030:K1032" si="144">+J1030*I1030</f>
        <v>1488161.2363199999</v>
      </c>
      <c r="L1030" s="149">
        <f>+J1030*I1030</f>
        <v>1488161.2363199999</v>
      </c>
      <c r="M1030" s="149"/>
      <c r="N1030" s="149"/>
      <c r="O1030" s="149"/>
      <c r="P1030" s="154"/>
    </row>
    <row r="1031" spans="1:17" s="15" customFormat="1" x14ac:dyDescent="0.2">
      <c r="A1031" t="s">
        <v>1400</v>
      </c>
      <c r="B1031" t="s">
        <v>1401</v>
      </c>
      <c r="C1031" s="15" t="s">
        <v>28</v>
      </c>
      <c r="D1031" s="138" t="s">
        <v>1104</v>
      </c>
      <c r="E1031" s="139" t="s">
        <v>30</v>
      </c>
      <c r="F1031" s="140" t="s">
        <v>31</v>
      </c>
      <c r="G1031" s="139" t="s">
        <v>28</v>
      </c>
      <c r="H1031" s="141">
        <v>0.76</v>
      </c>
      <c r="I1031" s="141">
        <v>2.7360000000000002</v>
      </c>
      <c r="J1031" s="149">
        <v>106655</v>
      </c>
      <c r="K1031" s="149">
        <f t="shared" si="144"/>
        <v>291808.08</v>
      </c>
      <c r="L1031" s="149"/>
      <c r="M1031" s="149">
        <f>+J1031*I1031</f>
        <v>291808.08</v>
      </c>
      <c r="N1031" s="149"/>
      <c r="O1031" s="149"/>
      <c r="P1031" s="155"/>
    </row>
    <row r="1032" spans="1:17" s="16" customFormat="1" x14ac:dyDescent="0.2">
      <c r="A1032" t="s">
        <v>1400</v>
      </c>
      <c r="B1032" t="s">
        <v>1401</v>
      </c>
      <c r="C1032" s="16" t="s">
        <v>1399</v>
      </c>
      <c r="D1032" s="142" t="s">
        <v>1105</v>
      </c>
      <c r="E1032" s="143" t="s">
        <v>1665</v>
      </c>
      <c r="F1032" s="144" t="s">
        <v>1666</v>
      </c>
      <c r="G1032" s="143" t="s">
        <v>1648</v>
      </c>
      <c r="H1032" s="145">
        <v>10</v>
      </c>
      <c r="I1032" s="145">
        <v>36</v>
      </c>
      <c r="J1032" s="149">
        <v>450000</v>
      </c>
      <c r="K1032" s="149">
        <f t="shared" si="144"/>
        <v>16200000</v>
      </c>
      <c r="L1032" s="149"/>
      <c r="M1032" s="149"/>
      <c r="N1032" s="149">
        <f t="shared" ref="N1032" si="145">+J1032*I1032</f>
        <v>16200000</v>
      </c>
      <c r="O1032" s="149"/>
      <c r="P1032" s="156"/>
    </row>
    <row r="1033" spans="1:17" s="1" customFormat="1" ht="38.25" x14ac:dyDescent="0.2">
      <c r="A1033" t="s">
        <v>1400</v>
      </c>
      <c r="B1033" t="s">
        <v>1401</v>
      </c>
      <c r="C1033" s="12" t="s">
        <v>1397</v>
      </c>
      <c r="D1033" s="130" t="s">
        <v>1109</v>
      </c>
      <c r="E1033" s="131" t="s">
        <v>1667</v>
      </c>
      <c r="F1033" s="131" t="s">
        <v>1668</v>
      </c>
      <c r="G1033" s="132" t="s">
        <v>1641</v>
      </c>
      <c r="H1033" s="133">
        <v>3.6</v>
      </c>
      <c r="I1033" s="133"/>
      <c r="J1033" s="149"/>
      <c r="K1033" s="149"/>
      <c r="L1033" s="149"/>
      <c r="M1033" s="149"/>
      <c r="N1033" s="149"/>
      <c r="O1033" s="149"/>
      <c r="P1033" s="153"/>
      <c r="Q1033" s="35"/>
    </row>
    <row r="1034" spans="1:17" s="14" customFormat="1" x14ac:dyDescent="0.2">
      <c r="A1034" t="s">
        <v>1400</v>
      </c>
      <c r="B1034" t="s">
        <v>1401</v>
      </c>
      <c r="C1034" s="14" t="s">
        <v>24</v>
      </c>
      <c r="D1034" s="134" t="s">
        <v>1110</v>
      </c>
      <c r="E1034" s="135" t="s">
        <v>18</v>
      </c>
      <c r="F1034" s="136" t="s">
        <v>23</v>
      </c>
      <c r="G1034" s="135" t="s">
        <v>24</v>
      </c>
      <c r="H1034" s="137">
        <v>24.64</v>
      </c>
      <c r="I1034" s="137">
        <v>88.703999999999994</v>
      </c>
      <c r="J1034" s="149">
        <v>22914.53</v>
      </c>
      <c r="K1034" s="149">
        <f t="shared" ref="K1034:K1040" si="146">+J1034*I1034</f>
        <v>2032610.4691199998</v>
      </c>
      <c r="L1034" s="149">
        <f>+J1034*I1034</f>
        <v>2032610.4691199998</v>
      </c>
      <c r="M1034" s="149"/>
      <c r="N1034" s="149"/>
      <c r="O1034" s="149"/>
      <c r="P1034" s="154"/>
    </row>
    <row r="1035" spans="1:17" s="15" customFormat="1" x14ac:dyDescent="0.2">
      <c r="A1035" t="s">
        <v>1400</v>
      </c>
      <c r="B1035" t="s">
        <v>1401</v>
      </c>
      <c r="C1035" s="15" t="s">
        <v>28</v>
      </c>
      <c r="D1035" s="138" t="s">
        <v>1111</v>
      </c>
      <c r="E1035" s="139" t="s">
        <v>213</v>
      </c>
      <c r="F1035" s="140" t="s">
        <v>214</v>
      </c>
      <c r="G1035" s="139" t="s">
        <v>28</v>
      </c>
      <c r="H1035" s="141">
        <v>0.2</v>
      </c>
      <c r="I1035" s="141">
        <v>0.72</v>
      </c>
      <c r="J1035" s="149">
        <v>1399</v>
      </c>
      <c r="K1035" s="149">
        <f t="shared" si="146"/>
        <v>1007.28</v>
      </c>
      <c r="L1035" s="149"/>
      <c r="M1035" s="149">
        <f t="shared" ref="M1035:M1036" si="147">+J1035*I1035</f>
        <v>1007.28</v>
      </c>
      <c r="N1035" s="149"/>
      <c r="O1035" s="149"/>
      <c r="P1035" s="155"/>
    </row>
    <row r="1036" spans="1:17" s="15" customFormat="1" x14ac:dyDescent="0.2">
      <c r="A1036" t="s">
        <v>1400</v>
      </c>
      <c r="B1036" t="s">
        <v>1401</v>
      </c>
      <c r="C1036" s="15" t="s">
        <v>28</v>
      </c>
      <c r="D1036" s="138" t="s">
        <v>1112</v>
      </c>
      <c r="E1036" s="139" t="s">
        <v>30</v>
      </c>
      <c r="F1036" s="140" t="s">
        <v>31</v>
      </c>
      <c r="G1036" s="139" t="s">
        <v>28</v>
      </c>
      <c r="H1036" s="141">
        <v>0.39</v>
      </c>
      <c r="I1036" s="141">
        <v>1.4039999999999999</v>
      </c>
      <c r="J1036" s="149">
        <v>106655</v>
      </c>
      <c r="K1036" s="149">
        <f t="shared" si="146"/>
        <v>149743.62</v>
      </c>
      <c r="L1036" s="149"/>
      <c r="M1036" s="149">
        <f t="shared" si="147"/>
        <v>149743.62</v>
      </c>
      <c r="N1036" s="149"/>
      <c r="O1036" s="149"/>
      <c r="P1036" s="155"/>
    </row>
    <row r="1037" spans="1:17" s="16" customFormat="1" x14ac:dyDescent="0.2">
      <c r="A1037" t="s">
        <v>1400</v>
      </c>
      <c r="B1037" t="s">
        <v>1401</v>
      </c>
      <c r="C1037" s="16" t="s">
        <v>1399</v>
      </c>
      <c r="D1037" s="142" t="s">
        <v>1113</v>
      </c>
      <c r="E1037" s="143" t="s">
        <v>1646</v>
      </c>
      <c r="F1037" s="144" t="s">
        <v>1647</v>
      </c>
      <c r="G1037" s="143" t="s">
        <v>1648</v>
      </c>
      <c r="H1037" s="145">
        <v>10</v>
      </c>
      <c r="I1037" s="145">
        <v>36</v>
      </c>
      <c r="J1037" s="149">
        <v>10000</v>
      </c>
      <c r="K1037" s="149">
        <f t="shared" si="146"/>
        <v>360000</v>
      </c>
      <c r="L1037" s="149"/>
      <c r="M1037" s="149"/>
      <c r="N1037" s="149">
        <f t="shared" ref="N1037:N1040" si="148">+J1037*I1037</f>
        <v>360000</v>
      </c>
      <c r="O1037" s="149"/>
      <c r="P1037" s="156"/>
    </row>
    <row r="1038" spans="1:17" s="16" customFormat="1" x14ac:dyDescent="0.2">
      <c r="A1038" t="s">
        <v>1400</v>
      </c>
      <c r="B1038" t="s">
        <v>1401</v>
      </c>
      <c r="C1038" s="16" t="s">
        <v>1399</v>
      </c>
      <c r="D1038" s="142" t="s">
        <v>1114</v>
      </c>
      <c r="E1038" s="143" t="s">
        <v>1650</v>
      </c>
      <c r="F1038" s="144" t="s">
        <v>1651</v>
      </c>
      <c r="G1038" s="143" t="s">
        <v>660</v>
      </c>
      <c r="H1038" s="145">
        <v>4</v>
      </c>
      <c r="I1038" s="146">
        <v>14.4</v>
      </c>
      <c r="J1038" s="149">
        <v>1500</v>
      </c>
      <c r="K1038" s="149">
        <f t="shared" si="146"/>
        <v>21600</v>
      </c>
      <c r="L1038" s="149"/>
      <c r="M1038" s="149"/>
      <c r="N1038" s="149">
        <f t="shared" si="148"/>
        <v>21600</v>
      </c>
      <c r="O1038" s="149"/>
      <c r="P1038" s="156"/>
    </row>
    <row r="1039" spans="1:17" s="16" customFormat="1" x14ac:dyDescent="0.2">
      <c r="A1039" t="s">
        <v>1400</v>
      </c>
      <c r="B1039" t="s">
        <v>1401</v>
      </c>
      <c r="C1039" s="16" t="s">
        <v>1399</v>
      </c>
      <c r="D1039" s="142" t="s">
        <v>1115</v>
      </c>
      <c r="E1039" s="143" t="s">
        <v>1658</v>
      </c>
      <c r="F1039" s="144" t="s">
        <v>1659</v>
      </c>
      <c r="G1039" s="143" t="s">
        <v>107</v>
      </c>
      <c r="H1039" s="146">
        <v>3.0000000000000001E-5</v>
      </c>
      <c r="I1039" s="146">
        <v>1.08E-4</v>
      </c>
      <c r="J1039" s="149">
        <v>16072000</v>
      </c>
      <c r="K1039" s="149">
        <f t="shared" si="146"/>
        <v>1735.7759999999998</v>
      </c>
      <c r="L1039" s="149"/>
      <c r="M1039" s="149"/>
      <c r="N1039" s="149">
        <f t="shared" si="148"/>
        <v>1735.7759999999998</v>
      </c>
      <c r="O1039" s="149"/>
      <c r="P1039" s="156"/>
    </row>
    <row r="1040" spans="1:17" s="16" customFormat="1" x14ac:dyDescent="0.2">
      <c r="A1040" t="s">
        <v>1400</v>
      </c>
      <c r="B1040" t="s">
        <v>1401</v>
      </c>
      <c r="C1040" s="16" t="s">
        <v>1399</v>
      </c>
      <c r="D1040" s="142" t="s">
        <v>1669</v>
      </c>
      <c r="E1040" s="143" t="s">
        <v>1670</v>
      </c>
      <c r="F1040" s="144" t="s">
        <v>1671</v>
      </c>
      <c r="G1040" s="143" t="s">
        <v>1648</v>
      </c>
      <c r="H1040" s="145">
        <v>10</v>
      </c>
      <c r="I1040" s="145">
        <v>36</v>
      </c>
      <c r="J1040" s="149">
        <v>450000</v>
      </c>
      <c r="K1040" s="149">
        <f t="shared" si="146"/>
        <v>16200000</v>
      </c>
      <c r="L1040" s="149"/>
      <c r="M1040" s="149"/>
      <c r="N1040" s="149">
        <f t="shared" si="148"/>
        <v>16200000</v>
      </c>
      <c r="O1040" s="149"/>
      <c r="P1040" s="156"/>
    </row>
    <row r="1041" spans="1:17" s="1" customFormat="1" x14ac:dyDescent="0.2">
      <c r="A1041" t="s">
        <v>1400</v>
      </c>
      <c r="B1041" t="s">
        <v>1401</v>
      </c>
      <c r="C1041" s="12" t="s">
        <v>1397</v>
      </c>
      <c r="D1041" s="130" t="s">
        <v>1116</v>
      </c>
      <c r="E1041" s="131" t="s">
        <v>1672</v>
      </c>
      <c r="F1041" s="131" t="s">
        <v>1673</v>
      </c>
      <c r="G1041" s="132" t="s">
        <v>761</v>
      </c>
      <c r="H1041" s="133">
        <v>3.6</v>
      </c>
      <c r="I1041" s="133"/>
      <c r="J1041" s="149"/>
      <c r="K1041" s="149"/>
      <c r="L1041" s="149"/>
      <c r="M1041" s="149"/>
      <c r="N1041" s="149"/>
      <c r="O1041" s="149"/>
      <c r="P1041" s="153"/>
      <c r="Q1041" s="35"/>
    </row>
    <row r="1042" spans="1:17" s="14" customFormat="1" x14ac:dyDescent="0.2">
      <c r="A1042" t="s">
        <v>1400</v>
      </c>
      <c r="B1042" t="s">
        <v>1401</v>
      </c>
      <c r="C1042" s="14" t="s">
        <v>24</v>
      </c>
      <c r="D1042" s="134" t="s">
        <v>1117</v>
      </c>
      <c r="E1042" s="135" t="s">
        <v>18</v>
      </c>
      <c r="F1042" s="136" t="s">
        <v>23</v>
      </c>
      <c r="G1042" s="135" t="s">
        <v>24</v>
      </c>
      <c r="H1042" s="147">
        <v>7</v>
      </c>
      <c r="I1042" s="137">
        <v>25.2</v>
      </c>
      <c r="J1042" s="149">
        <v>22914.53</v>
      </c>
      <c r="K1042" s="149">
        <f t="shared" ref="K1042:K1048" si="149">+J1042*I1042</f>
        <v>577446.15599999996</v>
      </c>
      <c r="L1042" s="149">
        <f>+J1042*I1042</f>
        <v>577446.15599999996</v>
      </c>
      <c r="M1042" s="149"/>
      <c r="N1042" s="149"/>
      <c r="O1042" s="149"/>
      <c r="P1042" s="154"/>
    </row>
    <row r="1043" spans="1:17" s="15" customFormat="1" x14ac:dyDescent="0.2">
      <c r="A1043" t="s">
        <v>1400</v>
      </c>
      <c r="B1043" t="s">
        <v>1401</v>
      </c>
      <c r="C1043" s="15" t="s">
        <v>28</v>
      </c>
      <c r="D1043" s="138" t="s">
        <v>1118</v>
      </c>
      <c r="E1043" s="139" t="s">
        <v>213</v>
      </c>
      <c r="F1043" s="140" t="s">
        <v>214</v>
      </c>
      <c r="G1043" s="139" t="s">
        <v>28</v>
      </c>
      <c r="H1043" s="141">
        <v>0.1</v>
      </c>
      <c r="I1043" s="141">
        <v>0.36</v>
      </c>
      <c r="J1043" s="149">
        <v>1399</v>
      </c>
      <c r="K1043" s="149">
        <f t="shared" si="149"/>
        <v>503.64</v>
      </c>
      <c r="L1043" s="149"/>
      <c r="M1043" s="149">
        <f>+J1043*I1043</f>
        <v>503.64</v>
      </c>
      <c r="N1043" s="149"/>
      <c r="O1043" s="149"/>
      <c r="P1043" s="155"/>
    </row>
    <row r="1044" spans="1:17" s="16" customFormat="1" x14ac:dyDescent="0.2">
      <c r="A1044" t="s">
        <v>1400</v>
      </c>
      <c r="B1044" t="s">
        <v>1401</v>
      </c>
      <c r="C1044" s="16" t="s">
        <v>1399</v>
      </c>
      <c r="D1044" s="142" t="s">
        <v>1119</v>
      </c>
      <c r="E1044" s="143" t="s">
        <v>1650</v>
      </c>
      <c r="F1044" s="144" t="s">
        <v>1651</v>
      </c>
      <c r="G1044" s="143" t="s">
        <v>660</v>
      </c>
      <c r="H1044" s="145">
        <v>2</v>
      </c>
      <c r="I1044" s="146">
        <v>7.2</v>
      </c>
      <c r="J1044" s="149">
        <v>1500</v>
      </c>
      <c r="K1044" s="149">
        <f t="shared" si="149"/>
        <v>10800</v>
      </c>
      <c r="L1044" s="149"/>
      <c r="M1044" s="149"/>
      <c r="N1044" s="149">
        <f t="shared" ref="N1044:N1048" si="150">+J1044*I1044</f>
        <v>10800</v>
      </c>
      <c r="O1044" s="149"/>
      <c r="P1044" s="156"/>
    </row>
    <row r="1045" spans="1:17" s="16" customFormat="1" x14ac:dyDescent="0.2">
      <c r="A1045" t="s">
        <v>1400</v>
      </c>
      <c r="B1045" t="s">
        <v>1401</v>
      </c>
      <c r="C1045" s="16" t="s">
        <v>1399</v>
      </c>
      <c r="D1045" s="142" t="s">
        <v>1120</v>
      </c>
      <c r="E1045" s="143" t="s">
        <v>1658</v>
      </c>
      <c r="F1045" s="144" t="s">
        <v>1659</v>
      </c>
      <c r="G1045" s="143" t="s">
        <v>107</v>
      </c>
      <c r="H1045" s="146">
        <v>1E-4</v>
      </c>
      <c r="I1045" s="146">
        <v>3.6000000000000002E-4</v>
      </c>
      <c r="J1045" s="149">
        <v>16072000</v>
      </c>
      <c r="K1045" s="149">
        <f t="shared" si="149"/>
        <v>5785.92</v>
      </c>
      <c r="L1045" s="149"/>
      <c r="M1045" s="149"/>
      <c r="N1045" s="149">
        <f t="shared" si="150"/>
        <v>5785.92</v>
      </c>
      <c r="O1045" s="149"/>
      <c r="P1045" s="156"/>
    </row>
    <row r="1046" spans="1:17" s="1" customFormat="1" x14ac:dyDescent="0.2">
      <c r="A1046" t="s">
        <v>1400</v>
      </c>
      <c r="B1046" t="s">
        <v>1401</v>
      </c>
      <c r="C1046" s="16" t="s">
        <v>1399</v>
      </c>
      <c r="D1046" s="130" t="s">
        <v>1121</v>
      </c>
      <c r="E1046" s="131" t="s">
        <v>1674</v>
      </c>
      <c r="F1046" s="131" t="s">
        <v>1675</v>
      </c>
      <c r="G1046" s="132" t="s">
        <v>42</v>
      </c>
      <c r="H1046" s="148">
        <v>72</v>
      </c>
      <c r="I1046" s="148">
        <f t="shared" ref="I1046:I1048" si="151">+H1046</f>
        <v>72</v>
      </c>
      <c r="J1046" s="149">
        <v>65000</v>
      </c>
      <c r="K1046" s="149">
        <f t="shared" si="149"/>
        <v>4680000</v>
      </c>
      <c r="L1046" s="149"/>
      <c r="M1046" s="149"/>
      <c r="N1046" s="149">
        <f t="shared" si="150"/>
        <v>4680000</v>
      </c>
      <c r="O1046" s="149"/>
      <c r="P1046" s="153"/>
    </row>
    <row r="1047" spans="1:17" s="1" customFormat="1" x14ac:dyDescent="0.2">
      <c r="A1047" t="s">
        <v>1400</v>
      </c>
      <c r="B1047" t="s">
        <v>1401</v>
      </c>
      <c r="C1047" s="16" t="s">
        <v>1399</v>
      </c>
      <c r="D1047" s="130" t="s">
        <v>1122</v>
      </c>
      <c r="E1047" s="131" t="s">
        <v>1676</v>
      </c>
      <c r="F1047" s="131" t="s">
        <v>1677</v>
      </c>
      <c r="G1047" s="132" t="s">
        <v>42</v>
      </c>
      <c r="H1047" s="148">
        <v>36</v>
      </c>
      <c r="I1047" s="148">
        <f t="shared" si="151"/>
        <v>36</v>
      </c>
      <c r="J1047" s="149">
        <v>65000</v>
      </c>
      <c r="K1047" s="149">
        <f t="shared" si="149"/>
        <v>2340000</v>
      </c>
      <c r="L1047" s="149"/>
      <c r="M1047" s="149"/>
      <c r="N1047" s="149">
        <f t="shared" si="150"/>
        <v>2340000</v>
      </c>
      <c r="O1047" s="149"/>
      <c r="P1047" s="153"/>
    </row>
    <row r="1048" spans="1:17" s="1" customFormat="1" x14ac:dyDescent="0.2">
      <c r="A1048" t="s">
        <v>1400</v>
      </c>
      <c r="B1048" t="s">
        <v>1401</v>
      </c>
      <c r="C1048" s="16" t="s">
        <v>1399</v>
      </c>
      <c r="D1048" s="130" t="s">
        <v>1125</v>
      </c>
      <c r="E1048" s="131" t="s">
        <v>1678</v>
      </c>
      <c r="F1048" s="131" t="s">
        <v>1679</v>
      </c>
      <c r="G1048" s="132" t="s">
        <v>42</v>
      </c>
      <c r="H1048" s="148">
        <v>36</v>
      </c>
      <c r="I1048" s="148">
        <f t="shared" si="151"/>
        <v>36</v>
      </c>
      <c r="J1048" s="149">
        <v>125000</v>
      </c>
      <c r="K1048" s="149">
        <f t="shared" si="149"/>
        <v>4500000</v>
      </c>
      <c r="L1048" s="149"/>
      <c r="M1048" s="149"/>
      <c r="N1048" s="149">
        <f t="shared" si="150"/>
        <v>4500000</v>
      </c>
      <c r="O1048" s="149"/>
      <c r="P1048" s="153"/>
    </row>
    <row r="1049" spans="1:17" s="1" customFormat="1" ht="13.5" customHeight="1" x14ac:dyDescent="0.2">
      <c r="A1049" t="s">
        <v>1400</v>
      </c>
      <c r="B1049" t="s">
        <v>1401</v>
      </c>
      <c r="C1049" s="1" t="s">
        <v>1398</v>
      </c>
      <c r="D1049" s="150"/>
      <c r="E1049" s="99"/>
      <c r="F1049" s="100" t="s">
        <v>1387</v>
      </c>
      <c r="G1049" s="101" t="s">
        <v>1368</v>
      </c>
      <c r="H1049" s="102"/>
      <c r="I1049" s="102"/>
      <c r="J1049" s="102"/>
      <c r="K1049" s="110">
        <f>L1049+M1049+N1049+O1049+P1049</f>
        <v>441411297.16058856</v>
      </c>
      <c r="L1049" s="104">
        <f>SUM(L801:L1048)</f>
        <v>157468008.55315995</v>
      </c>
      <c r="M1049" s="104">
        <f t="shared" ref="M1049:P1049" si="152">SUM(M801:M1048)</f>
        <v>9058818.6729999967</v>
      </c>
      <c r="N1049" s="104">
        <f t="shared" si="152"/>
        <v>142866742.36299998</v>
      </c>
      <c r="O1049" s="104">
        <f t="shared" si="152"/>
        <v>0</v>
      </c>
      <c r="P1049" s="104">
        <f t="shared" si="152"/>
        <v>132017727.57142858</v>
      </c>
    </row>
    <row r="1050" spans="1:17" s="1" customFormat="1" ht="13.5" customHeight="1" x14ac:dyDescent="0.2">
      <c r="A1050" t="s">
        <v>1400</v>
      </c>
      <c r="B1050" t="s">
        <v>1401</v>
      </c>
      <c r="C1050" s="1" t="s">
        <v>1398</v>
      </c>
      <c r="D1050" s="150"/>
      <c r="E1050" s="99"/>
      <c r="F1050" s="100" t="s">
        <v>1388</v>
      </c>
      <c r="G1050" s="101" t="s">
        <v>1368</v>
      </c>
      <c r="H1050" s="102"/>
      <c r="I1050" s="102"/>
      <c r="J1050" s="102"/>
      <c r="K1050" s="110">
        <f>L1049</f>
        <v>157468008.55315995</v>
      </c>
      <c r="L1050" s="105">
        <v>157468008.55315995</v>
      </c>
      <c r="M1050" s="105">
        <v>9058818.6729999967</v>
      </c>
      <c r="N1050" s="106">
        <v>142866742.36299998</v>
      </c>
      <c r="O1050" s="105"/>
      <c r="P1050" s="105">
        <v>132017727.57142858</v>
      </c>
    </row>
    <row r="1051" spans="1:17" s="1" customFormat="1" ht="13.5" customHeight="1" x14ac:dyDescent="0.2">
      <c r="A1051" t="s">
        <v>1400</v>
      </c>
      <c r="B1051" t="s">
        <v>1401</v>
      </c>
      <c r="C1051" s="1" t="s">
        <v>1398</v>
      </c>
      <c r="D1051" s="150"/>
      <c r="E1051" s="99"/>
      <c r="F1051" s="100" t="s">
        <v>1389</v>
      </c>
      <c r="G1051" s="101" t="s">
        <v>1368</v>
      </c>
      <c r="H1051" s="102"/>
      <c r="I1051" s="102"/>
      <c r="J1051" s="102"/>
      <c r="K1051" s="110">
        <f>M1049</f>
        <v>9058818.6729999967</v>
      </c>
      <c r="L1051" s="107">
        <f t="shared" ref="L1051:P1051" si="153">L1049-L1050</f>
        <v>0</v>
      </c>
      <c r="M1051" s="107">
        <f t="shared" si="153"/>
        <v>0</v>
      </c>
      <c r="N1051" s="107">
        <f t="shared" si="153"/>
        <v>0</v>
      </c>
      <c r="O1051" s="107">
        <f t="shared" si="153"/>
        <v>0</v>
      </c>
      <c r="P1051" s="107">
        <f t="shared" si="153"/>
        <v>0</v>
      </c>
    </row>
    <row r="1052" spans="1:17" s="1" customFormat="1" ht="13.5" customHeight="1" x14ac:dyDescent="0.2">
      <c r="A1052" t="s">
        <v>1400</v>
      </c>
      <c r="B1052" t="s">
        <v>1401</v>
      </c>
      <c r="C1052" s="1" t="s">
        <v>1398</v>
      </c>
      <c r="D1052" s="150"/>
      <c r="E1052" s="99"/>
      <c r="F1052" s="100" t="s">
        <v>1376</v>
      </c>
      <c r="G1052" s="101" t="s">
        <v>1368</v>
      </c>
      <c r="H1052" s="102"/>
      <c r="I1052" s="102"/>
      <c r="J1052" s="102"/>
      <c r="K1052" s="110">
        <f>N1049</f>
        <v>142866742.36299998</v>
      </c>
      <c r="L1052" s="108"/>
      <c r="M1052" s="108"/>
      <c r="N1052" s="108"/>
      <c r="O1052" s="129"/>
      <c r="P1052" s="153"/>
    </row>
    <row r="1053" spans="1:17" s="1" customFormat="1" ht="13.5" customHeight="1" x14ac:dyDescent="0.2">
      <c r="A1053" t="s">
        <v>1400</v>
      </c>
      <c r="B1053" t="s">
        <v>1401</v>
      </c>
      <c r="C1053" s="1" t="s">
        <v>1398</v>
      </c>
      <c r="D1053" s="150"/>
      <c r="E1053" s="99"/>
      <c r="F1053" s="100" t="s">
        <v>1390</v>
      </c>
      <c r="G1053" s="101" t="s">
        <v>1368</v>
      </c>
      <c r="H1053" s="102"/>
      <c r="I1053" s="102"/>
      <c r="J1053" s="102"/>
      <c r="K1053" s="110">
        <f>K1052*5%</f>
        <v>7143337.1181499995</v>
      </c>
      <c r="L1053" s="108"/>
      <c r="M1053" s="108"/>
      <c r="N1053" s="108"/>
      <c r="O1053" s="129"/>
      <c r="P1053" s="153"/>
    </row>
    <row r="1054" spans="1:17" s="1" customFormat="1" ht="13.5" customHeight="1" x14ac:dyDescent="0.2">
      <c r="A1054" t="s">
        <v>1400</v>
      </c>
      <c r="B1054" t="s">
        <v>1401</v>
      </c>
      <c r="C1054" s="1" t="s">
        <v>1398</v>
      </c>
      <c r="D1054" s="150"/>
      <c r="E1054" s="99"/>
      <c r="F1054" s="100" t="s">
        <v>1391</v>
      </c>
      <c r="G1054" s="101" t="s">
        <v>1368</v>
      </c>
      <c r="H1054" s="102"/>
      <c r="I1054" s="102"/>
      <c r="J1054" s="102"/>
      <c r="K1054" s="110">
        <f>P1049</f>
        <v>132017727.57142858</v>
      </c>
      <c r="L1054" s="108"/>
      <c r="M1054" s="108"/>
      <c r="N1054" s="108"/>
      <c r="O1054" s="129"/>
      <c r="P1054" s="153"/>
    </row>
    <row r="1055" spans="1:17" s="1" customFormat="1" ht="13.5" customHeight="1" x14ac:dyDescent="0.2">
      <c r="A1055" t="s">
        <v>1400</v>
      </c>
      <c r="B1055" t="s">
        <v>1401</v>
      </c>
      <c r="C1055" s="1" t="s">
        <v>1398</v>
      </c>
      <c r="D1055" s="150"/>
      <c r="E1055" s="99"/>
      <c r="F1055" s="100" t="s">
        <v>1392</v>
      </c>
      <c r="G1055" s="101" t="s">
        <v>1368</v>
      </c>
      <c r="H1055" s="102"/>
      <c r="I1055" s="102"/>
      <c r="J1055" s="102"/>
      <c r="K1055" s="110">
        <f>K1054*2%</f>
        <v>2640354.5514285718</v>
      </c>
      <c r="L1055" s="108"/>
      <c r="M1055" s="108"/>
      <c r="N1055" s="108"/>
      <c r="O1055" s="129"/>
      <c r="P1055" s="153"/>
    </row>
    <row r="1056" spans="1:17" s="1" customFormat="1" ht="13.5" customHeight="1" x14ac:dyDescent="0.2">
      <c r="A1056" t="s">
        <v>1400</v>
      </c>
      <c r="B1056" t="s">
        <v>1401</v>
      </c>
      <c r="C1056" s="1" t="s">
        <v>1398</v>
      </c>
      <c r="D1056" s="150"/>
      <c r="E1056" s="99"/>
      <c r="F1056" s="100" t="s">
        <v>1393</v>
      </c>
      <c r="G1056" s="101" t="s">
        <v>1368</v>
      </c>
      <c r="H1056" s="102"/>
      <c r="I1056" s="102"/>
      <c r="J1056" s="102"/>
      <c r="K1056" s="110">
        <f>+O1049</f>
        <v>0</v>
      </c>
      <c r="L1056" s="108"/>
      <c r="M1056" s="108"/>
      <c r="N1056" s="108"/>
      <c r="O1056" s="129"/>
      <c r="P1056" s="153"/>
    </row>
    <row r="1057" spans="1:17" s="1" customFormat="1" ht="13.5" customHeight="1" x14ac:dyDescent="0.2">
      <c r="A1057" t="s">
        <v>1400</v>
      </c>
      <c r="B1057" t="s">
        <v>1401</v>
      </c>
      <c r="C1057" s="1" t="s">
        <v>1398</v>
      </c>
      <c r="D1057" s="150"/>
      <c r="E1057" s="99"/>
      <c r="F1057" s="100" t="s">
        <v>1394</v>
      </c>
      <c r="G1057" s="101" t="s">
        <v>1368</v>
      </c>
      <c r="H1057" s="102"/>
      <c r="I1057" s="102"/>
      <c r="J1057" s="102"/>
      <c r="K1057" s="110">
        <f>K1056*1.5%</f>
        <v>0</v>
      </c>
      <c r="L1057" s="108"/>
      <c r="M1057" s="108"/>
      <c r="N1057" s="108"/>
      <c r="O1057" s="129"/>
      <c r="P1057" s="153"/>
    </row>
    <row r="1058" spans="1:17" s="1" customFormat="1" ht="13.5" customHeight="1" x14ac:dyDescent="0.2">
      <c r="A1058" t="s">
        <v>1400</v>
      </c>
      <c r="B1058" t="s">
        <v>1401</v>
      </c>
      <c r="C1058" s="1" t="s">
        <v>1398</v>
      </c>
      <c r="D1058" s="150"/>
      <c r="E1058" s="99"/>
      <c r="F1058" s="100" t="s">
        <v>1395</v>
      </c>
      <c r="G1058" s="101" t="s">
        <v>1368</v>
      </c>
      <c r="H1058" s="102"/>
      <c r="I1058" s="102"/>
      <c r="J1058" s="102"/>
      <c r="K1058" s="110">
        <f>SUM(K1050:K1057)</f>
        <v>451194988.83016711</v>
      </c>
      <c r="L1058" s="108"/>
      <c r="M1058" s="108"/>
      <c r="N1058" s="108"/>
      <c r="O1058" s="129"/>
      <c r="P1058" s="153"/>
    </row>
    <row r="1059" spans="1:17" s="1" customFormat="1" ht="13.5" customHeight="1" x14ac:dyDescent="0.2">
      <c r="A1059" t="s">
        <v>1400</v>
      </c>
      <c r="B1059" t="s">
        <v>1401</v>
      </c>
      <c r="C1059" s="1" t="s">
        <v>1398</v>
      </c>
      <c r="D1059" s="150"/>
      <c r="E1059" s="99"/>
      <c r="F1059" s="100" t="s">
        <v>1396</v>
      </c>
      <c r="G1059" s="101" t="s">
        <v>1368</v>
      </c>
      <c r="H1059" s="102"/>
      <c r="I1059" s="102"/>
      <c r="J1059" s="102"/>
      <c r="K1059" s="110">
        <f>(K1050+K1051+K1052+K1053+K1056+K1057)*17.27%</f>
        <v>54665923.78835243</v>
      </c>
      <c r="L1059" s="108"/>
      <c r="M1059" s="108"/>
      <c r="N1059" s="108"/>
      <c r="O1059" s="129"/>
      <c r="P1059" s="153"/>
    </row>
    <row r="1060" spans="1:17" s="1" customFormat="1" ht="13.5" customHeight="1" x14ac:dyDescent="0.2">
      <c r="A1060" t="s">
        <v>1400</v>
      </c>
      <c r="B1060" t="s">
        <v>1401</v>
      </c>
      <c r="C1060" s="1" t="s">
        <v>1398</v>
      </c>
      <c r="D1060" s="150"/>
      <c r="E1060" s="99"/>
      <c r="F1060" s="100" t="s">
        <v>1395</v>
      </c>
      <c r="G1060" s="101" t="s">
        <v>1368</v>
      </c>
      <c r="H1060" s="102"/>
      <c r="I1060" s="102"/>
      <c r="J1060" s="102"/>
      <c r="K1060" s="110">
        <f>SUM(K1058:K1059)</f>
        <v>505860912.61851954</v>
      </c>
      <c r="L1060" s="108"/>
      <c r="M1060" s="108"/>
      <c r="N1060" s="108"/>
      <c r="O1060" s="129"/>
      <c r="P1060" s="153"/>
    </row>
    <row r="1061" spans="1:17" ht="15.75" x14ac:dyDescent="0.25">
      <c r="A1061" t="s">
        <v>1681</v>
      </c>
      <c r="B1061" t="s">
        <v>1401</v>
      </c>
      <c r="D1061" s="151" t="s">
        <v>16</v>
      </c>
      <c r="E1061" s="128"/>
      <c r="F1061" s="128"/>
      <c r="G1061" s="128"/>
      <c r="H1061" s="128"/>
      <c r="I1061" s="128"/>
      <c r="J1061" s="158"/>
      <c r="K1061" s="158"/>
      <c r="L1061" s="158"/>
      <c r="M1061" s="158"/>
      <c r="N1061" s="158"/>
      <c r="O1061" s="158"/>
      <c r="P1061" s="152"/>
    </row>
    <row r="1062" spans="1:17" ht="15.75" x14ac:dyDescent="0.25">
      <c r="A1062" t="s">
        <v>1681</v>
      </c>
      <c r="B1062" t="s">
        <v>1401</v>
      </c>
      <c r="D1062" s="151" t="s">
        <v>1682</v>
      </c>
      <c r="E1062" s="128"/>
      <c r="F1062" s="128"/>
      <c r="G1062" s="128"/>
      <c r="H1062" s="128"/>
      <c r="I1062" s="128"/>
      <c r="J1062" s="158"/>
      <c r="K1062" s="158"/>
      <c r="L1062" s="158"/>
      <c r="M1062" s="158"/>
      <c r="N1062" s="158"/>
      <c r="O1062" s="158"/>
      <c r="P1062" s="152"/>
    </row>
    <row r="1063" spans="1:17" s="1" customFormat="1" ht="38.25" x14ac:dyDescent="0.2">
      <c r="A1063" t="s">
        <v>1681</v>
      </c>
      <c r="B1063" t="s">
        <v>1401</v>
      </c>
      <c r="C1063" s="1" t="s">
        <v>1683</v>
      </c>
      <c r="D1063" s="130" t="s">
        <v>18</v>
      </c>
      <c r="E1063" s="131" t="s">
        <v>1684</v>
      </c>
      <c r="F1063" s="131" t="s">
        <v>1685</v>
      </c>
      <c r="G1063" s="132" t="s">
        <v>1686</v>
      </c>
      <c r="H1063" s="159">
        <v>3.0055000000000001</v>
      </c>
      <c r="I1063" s="159"/>
      <c r="J1063" s="158"/>
      <c r="K1063" s="158"/>
      <c r="L1063" s="158"/>
      <c r="M1063" s="158"/>
      <c r="N1063" s="158"/>
      <c r="O1063" s="158"/>
      <c r="P1063" s="153"/>
      <c r="Q1063" s="35"/>
    </row>
    <row r="1064" spans="1:17" s="14" customFormat="1" x14ac:dyDescent="0.2">
      <c r="A1064" t="s">
        <v>1681</v>
      </c>
      <c r="B1064" t="s">
        <v>1401</v>
      </c>
      <c r="C1064" s="14" t="s">
        <v>24</v>
      </c>
      <c r="D1064" s="134" t="s">
        <v>22</v>
      </c>
      <c r="E1064" s="135" t="s">
        <v>52</v>
      </c>
      <c r="F1064" s="160" t="s">
        <v>1687</v>
      </c>
      <c r="G1064" s="135" t="s">
        <v>24</v>
      </c>
      <c r="H1064" s="158">
        <v>32.450000000000003</v>
      </c>
      <c r="I1064" s="158">
        <v>97.527799999999999</v>
      </c>
      <c r="J1064" s="158"/>
      <c r="K1064" s="158">
        <f>+J1064*I1064</f>
        <v>0</v>
      </c>
      <c r="L1064" s="158">
        <f>+J1064*I1064</f>
        <v>0</v>
      </c>
      <c r="M1064" s="158"/>
      <c r="N1064" s="158"/>
      <c r="O1064" s="158"/>
      <c r="P1064" s="154"/>
    </row>
    <row r="1065" spans="1:17" s="15" customFormat="1" ht="36" x14ac:dyDescent="0.2">
      <c r="A1065" t="s">
        <v>1681</v>
      </c>
      <c r="B1065" t="s">
        <v>1401</v>
      </c>
      <c r="C1065" s="124" t="s">
        <v>28</v>
      </c>
      <c r="D1065" s="138" t="s">
        <v>25</v>
      </c>
      <c r="E1065" s="139" t="s">
        <v>1688</v>
      </c>
      <c r="F1065" s="161" t="s">
        <v>1689</v>
      </c>
      <c r="G1065" s="139" t="s">
        <v>28</v>
      </c>
      <c r="H1065" s="162">
        <v>32.450000000000003</v>
      </c>
      <c r="I1065" s="162">
        <v>97.527799999999999</v>
      </c>
      <c r="J1065" s="158">
        <v>227778</v>
      </c>
      <c r="K1065" s="158">
        <f t="shared" ref="K1065" si="154">+J1065*I1065</f>
        <v>22214687.228399999</v>
      </c>
      <c r="L1065" s="158"/>
      <c r="M1065" s="158">
        <f>+J1065*I1065</f>
        <v>22214687.228399999</v>
      </c>
      <c r="N1065" s="158"/>
      <c r="O1065" s="158"/>
      <c r="P1065" s="155"/>
    </row>
    <row r="1066" spans="1:17" s="1" customFormat="1" ht="25.5" x14ac:dyDescent="0.2">
      <c r="A1066" t="s">
        <v>1681</v>
      </c>
      <c r="B1066" t="s">
        <v>1401</v>
      </c>
      <c r="C1066" s="1" t="s">
        <v>1683</v>
      </c>
      <c r="D1066" s="130" t="s">
        <v>43</v>
      </c>
      <c r="E1066" s="131" t="s">
        <v>1690</v>
      </c>
      <c r="F1066" s="131" t="s">
        <v>1691</v>
      </c>
      <c r="G1066" s="132" t="s">
        <v>1692</v>
      </c>
      <c r="H1066" s="159">
        <v>0.52590000000000003</v>
      </c>
      <c r="I1066" s="159"/>
      <c r="J1066" s="158"/>
      <c r="K1066" s="158"/>
      <c r="L1066" s="158"/>
      <c r="M1066" s="158"/>
      <c r="N1066" s="158"/>
      <c r="O1066" s="158"/>
      <c r="P1066" s="153"/>
      <c r="Q1066" s="35"/>
    </row>
    <row r="1067" spans="1:17" s="14" customFormat="1" x14ac:dyDescent="0.2">
      <c r="A1067" t="s">
        <v>1681</v>
      </c>
      <c r="B1067" t="s">
        <v>1401</v>
      </c>
      <c r="C1067" s="14" t="s">
        <v>24</v>
      </c>
      <c r="D1067" s="134" t="s">
        <v>46</v>
      </c>
      <c r="E1067" s="135" t="s">
        <v>18</v>
      </c>
      <c r="F1067" s="160" t="s">
        <v>23</v>
      </c>
      <c r="G1067" s="135" t="s">
        <v>24</v>
      </c>
      <c r="H1067" s="158">
        <v>154</v>
      </c>
      <c r="I1067" s="158">
        <v>80.988600000000005</v>
      </c>
      <c r="J1067" s="158">
        <v>22914.53</v>
      </c>
      <c r="K1067" s="158">
        <f>+J1067*I1067</f>
        <v>1855815.7043580001</v>
      </c>
      <c r="L1067" s="158">
        <f>+J1067*I1067</f>
        <v>1855815.7043580001</v>
      </c>
      <c r="M1067" s="158"/>
      <c r="N1067" s="158"/>
      <c r="O1067" s="158"/>
      <c r="P1067" s="154"/>
    </row>
    <row r="1068" spans="1:17" s="1" customFormat="1" ht="38.25" x14ac:dyDescent="0.2">
      <c r="A1068" t="s">
        <v>1681</v>
      </c>
      <c r="B1068" t="s">
        <v>1401</v>
      </c>
      <c r="C1068" s="1" t="s">
        <v>1683</v>
      </c>
      <c r="D1068" s="130" t="s">
        <v>52</v>
      </c>
      <c r="E1068" s="131" t="s">
        <v>1684</v>
      </c>
      <c r="F1068" s="131" t="s">
        <v>1685</v>
      </c>
      <c r="G1068" s="132" t="s">
        <v>1686</v>
      </c>
      <c r="H1068" s="159">
        <v>0.3584</v>
      </c>
      <c r="I1068" s="159"/>
      <c r="J1068" s="158"/>
      <c r="K1068" s="158"/>
      <c r="L1068" s="158"/>
      <c r="M1068" s="158"/>
      <c r="N1068" s="158"/>
      <c r="O1068" s="158"/>
      <c r="P1068" s="153"/>
      <c r="Q1068" s="35"/>
    </row>
    <row r="1069" spans="1:17" s="14" customFormat="1" x14ac:dyDescent="0.2">
      <c r="A1069" t="s">
        <v>1681</v>
      </c>
      <c r="B1069" t="s">
        <v>1401</v>
      </c>
      <c r="C1069" s="14" t="s">
        <v>24</v>
      </c>
      <c r="D1069" s="134" t="s">
        <v>55</v>
      </c>
      <c r="E1069" s="135" t="s">
        <v>52</v>
      </c>
      <c r="F1069" s="160" t="s">
        <v>1687</v>
      </c>
      <c r="G1069" s="135" t="s">
        <v>24</v>
      </c>
      <c r="H1069" s="158">
        <v>32.450000000000003</v>
      </c>
      <c r="I1069" s="158">
        <v>11.630100000000001</v>
      </c>
      <c r="J1069" s="158"/>
      <c r="K1069" s="158">
        <f t="shared" ref="K1069:K1070" si="155">+J1069*I1069</f>
        <v>0</v>
      </c>
      <c r="L1069" s="158">
        <f>+J1069*I1069</f>
        <v>0</v>
      </c>
      <c r="M1069" s="158"/>
      <c r="N1069" s="158"/>
      <c r="O1069" s="158"/>
      <c r="P1069" s="154"/>
    </row>
    <row r="1070" spans="1:17" s="15" customFormat="1" ht="36" x14ac:dyDescent="0.2">
      <c r="A1070" t="s">
        <v>1681</v>
      </c>
      <c r="B1070" t="s">
        <v>1401</v>
      </c>
      <c r="C1070" s="124" t="s">
        <v>28</v>
      </c>
      <c r="D1070" s="138" t="s">
        <v>56</v>
      </c>
      <c r="E1070" s="139" t="s">
        <v>1688</v>
      </c>
      <c r="F1070" s="161" t="s">
        <v>1689</v>
      </c>
      <c r="G1070" s="139" t="s">
        <v>28</v>
      </c>
      <c r="H1070" s="162">
        <v>32.450000000000003</v>
      </c>
      <c r="I1070" s="162">
        <v>11.630100000000001</v>
      </c>
      <c r="J1070" s="158">
        <v>227778</v>
      </c>
      <c r="K1070" s="158">
        <f t="shared" si="155"/>
        <v>2649080.9177999999</v>
      </c>
      <c r="L1070" s="158"/>
      <c r="M1070" s="158">
        <f>+J1070*I1070</f>
        <v>2649080.9177999999</v>
      </c>
      <c r="N1070" s="158"/>
      <c r="O1070" s="158"/>
      <c r="P1070" s="155"/>
    </row>
    <row r="1071" spans="1:17" s="1" customFormat="1" ht="25.5" x14ac:dyDescent="0.2">
      <c r="A1071" t="s">
        <v>1681</v>
      </c>
      <c r="B1071" t="s">
        <v>1401</v>
      </c>
      <c r="C1071" s="1" t="s">
        <v>1683</v>
      </c>
      <c r="D1071" s="130" t="s">
        <v>60</v>
      </c>
      <c r="E1071" s="131" t="s">
        <v>1693</v>
      </c>
      <c r="F1071" s="131" t="s">
        <v>1694</v>
      </c>
      <c r="G1071" s="132" t="s">
        <v>1686</v>
      </c>
      <c r="H1071" s="159">
        <v>0.9194</v>
      </c>
      <c r="I1071" s="159"/>
      <c r="J1071" s="158"/>
      <c r="K1071" s="158"/>
      <c r="L1071" s="158"/>
      <c r="M1071" s="158"/>
      <c r="N1071" s="158"/>
      <c r="O1071" s="158"/>
      <c r="P1071" s="153"/>
      <c r="Q1071" s="35"/>
    </row>
    <row r="1072" spans="1:17" s="14" customFormat="1" x14ac:dyDescent="0.2">
      <c r="A1072" t="s">
        <v>1681</v>
      </c>
      <c r="B1072" t="s">
        <v>1401</v>
      </c>
      <c r="C1072" s="14" t="s">
        <v>24</v>
      </c>
      <c r="D1072" s="134" t="s">
        <v>64</v>
      </c>
      <c r="E1072" s="135" t="s">
        <v>52</v>
      </c>
      <c r="F1072" s="160" t="s">
        <v>1687</v>
      </c>
      <c r="G1072" s="135" t="s">
        <v>24</v>
      </c>
      <c r="H1072" s="158">
        <v>3.5</v>
      </c>
      <c r="I1072" s="158">
        <v>3.2179000000000002</v>
      </c>
      <c r="J1072" s="158"/>
      <c r="K1072" s="158">
        <f t="shared" ref="K1072:K1073" si="156">+J1072*I1072</f>
        <v>0</v>
      </c>
      <c r="L1072" s="158">
        <f>+J1072*I1072</f>
        <v>0</v>
      </c>
      <c r="M1072" s="158"/>
      <c r="N1072" s="158"/>
      <c r="O1072" s="158"/>
      <c r="P1072" s="154"/>
    </row>
    <row r="1073" spans="1:17" s="15" customFormat="1" ht="24" x14ac:dyDescent="0.2">
      <c r="A1073" t="s">
        <v>1681</v>
      </c>
      <c r="B1073" t="s">
        <v>1401</v>
      </c>
      <c r="C1073" s="124" t="s">
        <v>28</v>
      </c>
      <c r="D1073" s="138" t="s">
        <v>65</v>
      </c>
      <c r="E1073" s="139" t="s">
        <v>1695</v>
      </c>
      <c r="F1073" s="161" t="s">
        <v>1696</v>
      </c>
      <c r="G1073" s="139" t="s">
        <v>28</v>
      </c>
      <c r="H1073" s="162">
        <v>3.5</v>
      </c>
      <c r="I1073" s="162">
        <v>3.2179000000000002</v>
      </c>
      <c r="J1073" s="158">
        <v>197517</v>
      </c>
      <c r="K1073" s="158">
        <f t="shared" si="156"/>
        <v>635589.95429999998</v>
      </c>
      <c r="L1073" s="158"/>
      <c r="M1073" s="158">
        <f>+J1073*I1073</f>
        <v>635589.95429999998</v>
      </c>
      <c r="N1073" s="158"/>
      <c r="O1073" s="158"/>
      <c r="P1073" s="155"/>
    </row>
    <row r="1074" spans="1:17" s="1" customFormat="1" ht="51" x14ac:dyDescent="0.2">
      <c r="A1074" t="s">
        <v>1681</v>
      </c>
      <c r="B1074" t="s">
        <v>1401</v>
      </c>
      <c r="C1074" s="1" t="s">
        <v>1683</v>
      </c>
      <c r="D1074" s="130" t="s">
        <v>70</v>
      </c>
      <c r="E1074" s="131" t="s">
        <v>1697</v>
      </c>
      <c r="F1074" s="131" t="s">
        <v>1698</v>
      </c>
      <c r="G1074" s="132" t="s">
        <v>107</v>
      </c>
      <c r="H1074" s="159">
        <v>4033.3919999999998</v>
      </c>
      <c r="I1074" s="159"/>
      <c r="J1074" s="158"/>
      <c r="K1074" s="158"/>
      <c r="L1074" s="158"/>
      <c r="M1074" s="158"/>
      <c r="N1074" s="158"/>
      <c r="O1074" s="158"/>
      <c r="P1074" s="153"/>
      <c r="Q1074" s="35"/>
    </row>
    <row r="1075" spans="1:17" s="14" customFormat="1" x14ac:dyDescent="0.2">
      <c r="A1075" t="s">
        <v>1681</v>
      </c>
      <c r="B1075" t="s">
        <v>1401</v>
      </c>
      <c r="C1075" s="14" t="s">
        <v>24</v>
      </c>
      <c r="D1075" s="134" t="s">
        <v>73</v>
      </c>
      <c r="E1075" s="135" t="s">
        <v>52</v>
      </c>
      <c r="F1075" s="160" t="s">
        <v>1687</v>
      </c>
      <c r="G1075" s="135" t="s">
        <v>24</v>
      </c>
      <c r="H1075" s="158">
        <v>4.3131999999999997E-2</v>
      </c>
      <c r="I1075" s="158">
        <v>173.9683</v>
      </c>
      <c r="J1075" s="158"/>
      <c r="K1075" s="158">
        <f t="shared" ref="K1075:K1076" si="157">+J1075*I1075</f>
        <v>0</v>
      </c>
      <c r="L1075" s="158">
        <f>+J1075*I1075</f>
        <v>0</v>
      </c>
      <c r="M1075" s="158"/>
      <c r="N1075" s="158"/>
      <c r="O1075" s="158"/>
      <c r="P1075" s="154"/>
    </row>
    <row r="1076" spans="1:17" s="15" customFormat="1" x14ac:dyDescent="0.2">
      <c r="A1076" t="s">
        <v>1681</v>
      </c>
      <c r="B1076" t="s">
        <v>1401</v>
      </c>
      <c r="C1076" s="124" t="s">
        <v>28</v>
      </c>
      <c r="D1076" s="138" t="s">
        <v>74</v>
      </c>
      <c r="E1076" s="139" t="s">
        <v>1699</v>
      </c>
      <c r="F1076" s="161" t="s">
        <v>1700</v>
      </c>
      <c r="G1076" s="139" t="s">
        <v>28</v>
      </c>
      <c r="H1076" s="162">
        <v>4.3131999999999997E-2</v>
      </c>
      <c r="I1076" s="162">
        <v>173.9683</v>
      </c>
      <c r="J1076" s="158">
        <v>387100</v>
      </c>
      <c r="K1076" s="158">
        <f t="shared" si="157"/>
        <v>67343128.930000007</v>
      </c>
      <c r="L1076" s="158"/>
      <c r="M1076" s="158">
        <f>+J1076*I1076</f>
        <v>67343128.930000007</v>
      </c>
      <c r="N1076" s="158"/>
      <c r="O1076" s="158"/>
      <c r="P1076" s="155"/>
    </row>
    <row r="1077" spans="1:17" ht="15.75" x14ac:dyDescent="0.25">
      <c r="A1077" t="s">
        <v>1681</v>
      </c>
      <c r="B1077" t="s">
        <v>1401</v>
      </c>
      <c r="D1077" s="151" t="s">
        <v>1701</v>
      </c>
      <c r="E1077" s="128"/>
      <c r="F1077" s="163"/>
      <c r="G1077" s="128"/>
      <c r="H1077" s="128"/>
      <c r="I1077" s="128"/>
      <c r="J1077" s="158"/>
      <c r="K1077" s="158"/>
      <c r="L1077" s="158"/>
      <c r="M1077" s="158"/>
      <c r="N1077" s="158"/>
      <c r="O1077" s="158"/>
      <c r="P1077" s="152"/>
    </row>
    <row r="1078" spans="1:17" s="1" customFormat="1" ht="25.5" x14ac:dyDescent="0.2">
      <c r="A1078" t="s">
        <v>1681</v>
      </c>
      <c r="B1078" t="s">
        <v>1401</v>
      </c>
      <c r="C1078" s="1" t="s">
        <v>1683</v>
      </c>
      <c r="D1078" s="130" t="s">
        <v>80</v>
      </c>
      <c r="E1078" s="131" t="s">
        <v>1702</v>
      </c>
      <c r="F1078" s="131" t="s">
        <v>1703</v>
      </c>
      <c r="G1078" s="132" t="s">
        <v>1686</v>
      </c>
      <c r="H1078" s="159">
        <v>2.9039999999999999</v>
      </c>
      <c r="I1078" s="159"/>
      <c r="J1078" s="158"/>
      <c r="K1078" s="158"/>
      <c r="L1078" s="158"/>
      <c r="M1078" s="158"/>
      <c r="N1078" s="158"/>
      <c r="O1078" s="158"/>
      <c r="P1078" s="153"/>
      <c r="Q1078" s="35"/>
    </row>
    <row r="1079" spans="1:17" s="14" customFormat="1" x14ac:dyDescent="0.2">
      <c r="A1079" t="s">
        <v>1681</v>
      </c>
      <c r="B1079" t="s">
        <v>1401</v>
      </c>
      <c r="C1079" s="14" t="s">
        <v>24</v>
      </c>
      <c r="D1079" s="134" t="s">
        <v>83</v>
      </c>
      <c r="E1079" s="135" t="s">
        <v>18</v>
      </c>
      <c r="F1079" s="160" t="s">
        <v>23</v>
      </c>
      <c r="G1079" s="135" t="s">
        <v>24</v>
      </c>
      <c r="H1079" s="158">
        <v>2.02</v>
      </c>
      <c r="I1079" s="158">
        <v>5.8661000000000003</v>
      </c>
      <c r="J1079" s="158">
        <v>22914.53</v>
      </c>
      <c r="K1079" s="158">
        <f t="shared" ref="K1079:K1088" si="158">+J1079*I1079</f>
        <v>134418.92443300001</v>
      </c>
      <c r="L1079" s="158">
        <f t="shared" ref="L1079:L1080" si="159">+J1079*I1079</f>
        <v>134418.92443300001</v>
      </c>
      <c r="M1079" s="158"/>
      <c r="N1079" s="158"/>
      <c r="O1079" s="158"/>
      <c r="P1079" s="154"/>
    </row>
    <row r="1080" spans="1:17" s="16" customFormat="1" x14ac:dyDescent="0.2">
      <c r="A1080" t="s">
        <v>1681</v>
      </c>
      <c r="B1080" t="s">
        <v>1401</v>
      </c>
      <c r="C1080" s="14" t="s">
        <v>24</v>
      </c>
      <c r="D1080" s="134" t="s">
        <v>84</v>
      </c>
      <c r="E1080" s="135" t="s">
        <v>52</v>
      </c>
      <c r="F1080" s="160" t="s">
        <v>1687</v>
      </c>
      <c r="G1080" s="135" t="s">
        <v>24</v>
      </c>
      <c r="H1080" s="158">
        <v>95.1</v>
      </c>
      <c r="I1080" s="158">
        <v>276.17039999999997</v>
      </c>
      <c r="J1080" s="158"/>
      <c r="K1080" s="158">
        <f t="shared" si="158"/>
        <v>0</v>
      </c>
      <c r="L1080" s="158">
        <f t="shared" si="159"/>
        <v>0</v>
      </c>
      <c r="M1080" s="158"/>
      <c r="N1080" s="158"/>
      <c r="O1080" s="158"/>
      <c r="P1080" s="156"/>
    </row>
    <row r="1081" spans="1:17" s="15" customFormat="1" ht="24" x14ac:dyDescent="0.2">
      <c r="A1081" t="s">
        <v>1681</v>
      </c>
      <c r="B1081" t="s">
        <v>1401</v>
      </c>
      <c r="C1081" s="124" t="s">
        <v>28</v>
      </c>
      <c r="D1081" s="138" t="s">
        <v>85</v>
      </c>
      <c r="E1081" s="139" t="s">
        <v>1695</v>
      </c>
      <c r="F1081" s="161" t="s">
        <v>1696</v>
      </c>
      <c r="G1081" s="139" t="s">
        <v>28</v>
      </c>
      <c r="H1081" s="162">
        <v>13.42</v>
      </c>
      <c r="I1081" s="162">
        <v>38.971699999999998</v>
      </c>
      <c r="J1081" s="158">
        <v>197517</v>
      </c>
      <c r="K1081" s="158">
        <f t="shared" si="158"/>
        <v>7697573.2688999996</v>
      </c>
      <c r="L1081" s="158"/>
      <c r="M1081" s="158">
        <f t="shared" ref="M1081:M1087" si="160">+J1081*I1081</f>
        <v>7697573.2688999996</v>
      </c>
      <c r="N1081" s="158"/>
      <c r="O1081" s="158"/>
      <c r="P1081" s="155"/>
    </row>
    <row r="1082" spans="1:17" s="15" customFormat="1" x14ac:dyDescent="0.2">
      <c r="A1082" t="s">
        <v>1681</v>
      </c>
      <c r="B1082" t="s">
        <v>1401</v>
      </c>
      <c r="C1082" s="124" t="s">
        <v>28</v>
      </c>
      <c r="D1082" s="138" t="s">
        <v>86</v>
      </c>
      <c r="E1082" s="139" t="s">
        <v>1704</v>
      </c>
      <c r="F1082" s="161" t="s">
        <v>1705</v>
      </c>
      <c r="G1082" s="139" t="s">
        <v>28</v>
      </c>
      <c r="H1082" s="162">
        <v>28.49</v>
      </c>
      <c r="I1082" s="162">
        <v>82.734999999999999</v>
      </c>
      <c r="J1082" s="158">
        <v>6864</v>
      </c>
      <c r="K1082" s="158">
        <f t="shared" si="158"/>
        <v>567893.04</v>
      </c>
      <c r="L1082" s="158"/>
      <c r="M1082" s="158">
        <f t="shared" si="160"/>
        <v>567893.04</v>
      </c>
      <c r="N1082" s="158"/>
      <c r="O1082" s="158"/>
      <c r="P1082" s="155"/>
    </row>
    <row r="1083" spans="1:17" s="15" customFormat="1" x14ac:dyDescent="0.2">
      <c r="A1083" t="s">
        <v>1681</v>
      </c>
      <c r="B1083" t="s">
        <v>1401</v>
      </c>
      <c r="C1083" s="124" t="s">
        <v>28</v>
      </c>
      <c r="D1083" s="138" t="s">
        <v>89</v>
      </c>
      <c r="E1083" s="139" t="s">
        <v>1706</v>
      </c>
      <c r="F1083" s="161" t="s">
        <v>1707</v>
      </c>
      <c r="G1083" s="139" t="s">
        <v>28</v>
      </c>
      <c r="H1083" s="162">
        <v>29.53</v>
      </c>
      <c r="I1083" s="162">
        <v>85.755099999999999</v>
      </c>
      <c r="J1083" s="158">
        <v>171050</v>
      </c>
      <c r="K1083" s="158">
        <f t="shared" si="158"/>
        <v>14668409.855</v>
      </c>
      <c r="L1083" s="158"/>
      <c r="M1083" s="158">
        <f t="shared" si="160"/>
        <v>14668409.855</v>
      </c>
      <c r="N1083" s="158"/>
      <c r="O1083" s="158"/>
      <c r="P1083" s="155"/>
    </row>
    <row r="1084" spans="1:17" s="15" customFormat="1" x14ac:dyDescent="0.2">
      <c r="A1084" t="s">
        <v>1681</v>
      </c>
      <c r="B1084" t="s">
        <v>1401</v>
      </c>
      <c r="C1084" s="124" t="s">
        <v>28</v>
      </c>
      <c r="D1084" s="138" t="s">
        <v>1708</v>
      </c>
      <c r="E1084" s="139" t="s">
        <v>1709</v>
      </c>
      <c r="F1084" s="161" t="s">
        <v>1710</v>
      </c>
      <c r="G1084" s="139" t="s">
        <v>28</v>
      </c>
      <c r="H1084" s="162">
        <v>0.11</v>
      </c>
      <c r="I1084" s="162">
        <v>0.31944</v>
      </c>
      <c r="J1084" s="158">
        <v>195230</v>
      </c>
      <c r="K1084" s="158">
        <f t="shared" si="158"/>
        <v>62364.271200000003</v>
      </c>
      <c r="L1084" s="158"/>
      <c r="M1084" s="158">
        <f t="shared" si="160"/>
        <v>62364.271200000003</v>
      </c>
      <c r="N1084" s="158"/>
      <c r="O1084" s="158"/>
      <c r="P1084" s="155"/>
    </row>
    <row r="1085" spans="1:17" s="15" customFormat="1" ht="36" x14ac:dyDescent="0.2">
      <c r="A1085" t="s">
        <v>1681</v>
      </c>
      <c r="B1085" t="s">
        <v>1401</v>
      </c>
      <c r="C1085" s="124" t="s">
        <v>28</v>
      </c>
      <c r="D1085" s="138" t="s">
        <v>1711</v>
      </c>
      <c r="E1085" s="139" t="s">
        <v>1712</v>
      </c>
      <c r="F1085" s="161" t="s">
        <v>1713</v>
      </c>
      <c r="G1085" s="139" t="s">
        <v>28</v>
      </c>
      <c r="H1085" s="162">
        <v>22.34</v>
      </c>
      <c r="I1085" s="162">
        <v>64.875399999999999</v>
      </c>
      <c r="J1085" s="158">
        <v>162412</v>
      </c>
      <c r="K1085" s="158">
        <f t="shared" si="158"/>
        <v>10536543.4648</v>
      </c>
      <c r="L1085" s="158"/>
      <c r="M1085" s="158">
        <f t="shared" si="160"/>
        <v>10536543.4648</v>
      </c>
      <c r="N1085" s="158"/>
      <c r="O1085" s="158"/>
      <c r="P1085" s="155"/>
    </row>
    <row r="1086" spans="1:17" s="15" customFormat="1" ht="24" x14ac:dyDescent="0.2">
      <c r="A1086" t="s">
        <v>1681</v>
      </c>
      <c r="B1086" t="s">
        <v>1401</v>
      </c>
      <c r="C1086" s="124" t="s">
        <v>28</v>
      </c>
      <c r="D1086" s="138" t="s">
        <v>1714</v>
      </c>
      <c r="E1086" s="139" t="s">
        <v>1715</v>
      </c>
      <c r="F1086" s="161" t="s">
        <v>1716</v>
      </c>
      <c r="G1086" s="139" t="s">
        <v>28</v>
      </c>
      <c r="H1086" s="162">
        <v>1.21</v>
      </c>
      <c r="I1086" s="162">
        <v>3.5137999999999998</v>
      </c>
      <c r="J1086" s="158">
        <v>162412</v>
      </c>
      <c r="K1086" s="158">
        <f t="shared" si="158"/>
        <v>570683.28559999994</v>
      </c>
      <c r="L1086" s="158"/>
      <c r="M1086" s="158">
        <f t="shared" si="160"/>
        <v>570683.28559999994</v>
      </c>
      <c r="N1086" s="158"/>
      <c r="O1086" s="158"/>
      <c r="P1086" s="155"/>
    </row>
    <row r="1087" spans="1:17" s="15" customFormat="1" x14ac:dyDescent="0.2">
      <c r="A1087" t="s">
        <v>1681</v>
      </c>
      <c r="B1087" t="s">
        <v>1401</v>
      </c>
      <c r="C1087" s="124" t="s">
        <v>28</v>
      </c>
      <c r="D1087" s="138" t="s">
        <v>1717</v>
      </c>
      <c r="E1087" s="139" t="s">
        <v>1718</v>
      </c>
      <c r="F1087" s="161" t="s">
        <v>1719</v>
      </c>
      <c r="G1087" s="139" t="s">
        <v>28</v>
      </c>
      <c r="H1087" s="162">
        <v>28.49</v>
      </c>
      <c r="I1087" s="162">
        <v>82.734999999999999</v>
      </c>
      <c r="J1087" s="158">
        <v>197061</v>
      </c>
      <c r="K1087" s="158">
        <f t="shared" si="158"/>
        <v>16303841.834999999</v>
      </c>
      <c r="L1087" s="158"/>
      <c r="M1087" s="158">
        <f t="shared" si="160"/>
        <v>16303841.834999999</v>
      </c>
      <c r="N1087" s="158"/>
      <c r="O1087" s="158"/>
      <c r="P1087" s="155"/>
    </row>
    <row r="1088" spans="1:17" s="16" customFormat="1" x14ac:dyDescent="0.2">
      <c r="A1088" t="s">
        <v>1681</v>
      </c>
      <c r="B1088" t="s">
        <v>1401</v>
      </c>
      <c r="D1088" s="142" t="s">
        <v>1720</v>
      </c>
      <c r="E1088" s="143" t="s">
        <v>1721</v>
      </c>
      <c r="F1088" s="164" t="s">
        <v>1722</v>
      </c>
      <c r="G1088" s="143" t="s">
        <v>420</v>
      </c>
      <c r="H1088" s="165">
        <v>4</v>
      </c>
      <c r="I1088" s="165">
        <v>11.616</v>
      </c>
      <c r="J1088" s="158">
        <v>0</v>
      </c>
      <c r="K1088" s="158">
        <f t="shared" si="158"/>
        <v>0</v>
      </c>
      <c r="L1088" s="158"/>
      <c r="M1088" s="158"/>
      <c r="N1088" s="158">
        <f t="shared" ref="N1088" si="161">+J1088*I1088</f>
        <v>0</v>
      </c>
      <c r="O1088" s="158"/>
      <c r="P1088" s="156"/>
    </row>
    <row r="1089" spans="1:17" s="1" customFormat="1" x14ac:dyDescent="0.2">
      <c r="A1089" t="s">
        <v>1681</v>
      </c>
      <c r="B1089" t="s">
        <v>1401</v>
      </c>
      <c r="C1089" s="16" t="s">
        <v>1723</v>
      </c>
      <c r="D1089" s="130" t="s">
        <v>90</v>
      </c>
      <c r="E1089" s="131" t="s">
        <v>1724</v>
      </c>
      <c r="F1089" s="131" t="s">
        <v>1725</v>
      </c>
      <c r="G1089" s="132" t="s">
        <v>420</v>
      </c>
      <c r="H1089" s="159">
        <v>2904</v>
      </c>
      <c r="I1089" s="159">
        <f>+H1089</f>
        <v>2904</v>
      </c>
      <c r="J1089" s="166">
        <v>25754</v>
      </c>
      <c r="K1089" s="166">
        <f>+J1089*I1089</f>
        <v>74789616</v>
      </c>
      <c r="L1089" s="158"/>
      <c r="M1089" s="158"/>
      <c r="N1089" s="166">
        <f>+J1089*I1089</f>
        <v>74789616</v>
      </c>
      <c r="O1089" s="158"/>
      <c r="P1089" s="153"/>
    </row>
    <row r="1090" spans="1:17" s="1" customFormat="1" ht="25.5" x14ac:dyDescent="0.2">
      <c r="A1090" t="s">
        <v>1681</v>
      </c>
      <c r="B1090" t="s">
        <v>1401</v>
      </c>
      <c r="C1090" s="1" t="s">
        <v>1683</v>
      </c>
      <c r="D1090" s="130" t="s">
        <v>115</v>
      </c>
      <c r="E1090" s="131" t="s">
        <v>1726</v>
      </c>
      <c r="F1090" s="131" t="s">
        <v>1727</v>
      </c>
      <c r="G1090" s="132" t="s">
        <v>1692</v>
      </c>
      <c r="H1090" s="159">
        <v>0.41199999999999998</v>
      </c>
      <c r="I1090" s="159"/>
      <c r="J1090" s="158"/>
      <c r="K1090" s="158"/>
      <c r="L1090" s="158"/>
      <c r="M1090" s="158"/>
      <c r="N1090" s="158"/>
      <c r="O1090" s="158"/>
      <c r="P1090" s="153"/>
      <c r="Q1090" s="35"/>
    </row>
    <row r="1091" spans="1:17" s="14" customFormat="1" x14ac:dyDescent="0.2">
      <c r="A1091" t="s">
        <v>1681</v>
      </c>
      <c r="B1091" t="s">
        <v>1401</v>
      </c>
      <c r="C1091" s="14" t="s">
        <v>24</v>
      </c>
      <c r="D1091" s="134" t="s">
        <v>118</v>
      </c>
      <c r="E1091" s="135" t="s">
        <v>18</v>
      </c>
      <c r="F1091" s="160" t="s">
        <v>23</v>
      </c>
      <c r="G1091" s="135" t="s">
        <v>24</v>
      </c>
      <c r="H1091" s="158">
        <v>180</v>
      </c>
      <c r="I1091" s="158">
        <v>74.16</v>
      </c>
      <c r="J1091" s="158">
        <v>22914.53</v>
      </c>
      <c r="K1091" s="158">
        <f t="shared" ref="K1091:K1096" si="162">+J1091*I1091</f>
        <v>1699341.5447999998</v>
      </c>
      <c r="L1091" s="158">
        <f t="shared" ref="L1091:L1092" si="163">+J1091*I1091</f>
        <v>1699341.5447999998</v>
      </c>
      <c r="M1091" s="158"/>
      <c r="N1091" s="158"/>
      <c r="O1091" s="158"/>
      <c r="P1091" s="154"/>
    </row>
    <row r="1092" spans="1:17" s="16" customFormat="1" x14ac:dyDescent="0.2">
      <c r="A1092" t="s">
        <v>1681</v>
      </c>
      <c r="B1092" t="s">
        <v>1401</v>
      </c>
      <c r="C1092" s="14" t="s">
        <v>24</v>
      </c>
      <c r="D1092" s="134" t="s">
        <v>119</v>
      </c>
      <c r="E1092" s="135" t="s">
        <v>52</v>
      </c>
      <c r="F1092" s="160" t="s">
        <v>1687</v>
      </c>
      <c r="G1092" s="135" t="s">
        <v>24</v>
      </c>
      <c r="H1092" s="158">
        <v>18.13</v>
      </c>
      <c r="I1092" s="158">
        <v>7.4695999999999998</v>
      </c>
      <c r="J1092" s="158"/>
      <c r="K1092" s="158">
        <f t="shared" si="162"/>
        <v>0</v>
      </c>
      <c r="L1092" s="158">
        <f t="shared" si="163"/>
        <v>0</v>
      </c>
      <c r="M1092" s="158"/>
      <c r="N1092" s="158"/>
      <c r="O1092" s="158"/>
      <c r="P1092" s="156"/>
    </row>
    <row r="1093" spans="1:17" s="15" customFormat="1" x14ac:dyDescent="0.2">
      <c r="A1093" t="s">
        <v>1681</v>
      </c>
      <c r="B1093" t="s">
        <v>1401</v>
      </c>
      <c r="C1093" s="124" t="s">
        <v>28</v>
      </c>
      <c r="D1093" s="138" t="s">
        <v>120</v>
      </c>
      <c r="E1093" s="139" t="s">
        <v>1728</v>
      </c>
      <c r="F1093" s="161" t="s">
        <v>1729</v>
      </c>
      <c r="G1093" s="139" t="s">
        <v>28</v>
      </c>
      <c r="H1093" s="162">
        <v>48</v>
      </c>
      <c r="I1093" s="162">
        <v>19.776</v>
      </c>
      <c r="J1093" s="158">
        <v>1592</v>
      </c>
      <c r="K1093" s="158">
        <f t="shared" si="162"/>
        <v>31483.392</v>
      </c>
      <c r="L1093" s="158"/>
      <c r="M1093" s="158">
        <f t="shared" ref="M1093:M1095" si="164">+J1093*I1093</f>
        <v>31483.392</v>
      </c>
      <c r="N1093" s="158"/>
      <c r="O1093" s="158"/>
      <c r="P1093" s="155"/>
    </row>
    <row r="1094" spans="1:17" s="15" customFormat="1" x14ac:dyDescent="0.2">
      <c r="A1094" t="s">
        <v>1681</v>
      </c>
      <c r="B1094" t="s">
        <v>1401</v>
      </c>
      <c r="C1094" s="124" t="s">
        <v>28</v>
      </c>
      <c r="D1094" s="138" t="s">
        <v>123</v>
      </c>
      <c r="E1094" s="139" t="s">
        <v>1079</v>
      </c>
      <c r="F1094" s="161" t="s">
        <v>1080</v>
      </c>
      <c r="G1094" s="139" t="s">
        <v>28</v>
      </c>
      <c r="H1094" s="162">
        <v>18</v>
      </c>
      <c r="I1094" s="162">
        <v>7.4160000000000004</v>
      </c>
      <c r="J1094" s="158">
        <v>132706</v>
      </c>
      <c r="K1094" s="158">
        <f t="shared" si="162"/>
        <v>984147.696</v>
      </c>
      <c r="L1094" s="158"/>
      <c r="M1094" s="158">
        <f t="shared" si="164"/>
        <v>984147.696</v>
      </c>
      <c r="N1094" s="158"/>
      <c r="O1094" s="158"/>
      <c r="P1094" s="155"/>
    </row>
    <row r="1095" spans="1:17" s="15" customFormat="1" x14ac:dyDescent="0.2">
      <c r="A1095" t="s">
        <v>1681</v>
      </c>
      <c r="B1095" t="s">
        <v>1401</v>
      </c>
      <c r="C1095" s="124" t="s">
        <v>28</v>
      </c>
      <c r="D1095" s="138" t="s">
        <v>126</v>
      </c>
      <c r="E1095" s="139" t="s">
        <v>30</v>
      </c>
      <c r="F1095" s="161" t="s">
        <v>31</v>
      </c>
      <c r="G1095" s="139" t="s">
        <v>28</v>
      </c>
      <c r="H1095" s="162">
        <v>0.13</v>
      </c>
      <c r="I1095" s="162">
        <v>5.3560000000000003E-2</v>
      </c>
      <c r="J1095" s="158">
        <v>106655</v>
      </c>
      <c r="K1095" s="158">
        <f t="shared" si="162"/>
        <v>5712.4418000000005</v>
      </c>
      <c r="L1095" s="158"/>
      <c r="M1095" s="158">
        <f t="shared" si="164"/>
        <v>5712.4418000000005</v>
      </c>
      <c r="N1095" s="158"/>
      <c r="O1095" s="158"/>
      <c r="P1095" s="155"/>
    </row>
    <row r="1096" spans="1:17" s="16" customFormat="1" x14ac:dyDescent="0.2">
      <c r="A1096" t="s">
        <v>1681</v>
      </c>
      <c r="B1096" t="s">
        <v>1401</v>
      </c>
      <c r="C1096" s="16" t="s">
        <v>1723</v>
      </c>
      <c r="D1096" s="142" t="s">
        <v>1730</v>
      </c>
      <c r="E1096" s="143" t="s">
        <v>1731</v>
      </c>
      <c r="F1096" s="164" t="s">
        <v>1732</v>
      </c>
      <c r="G1096" s="143" t="s">
        <v>420</v>
      </c>
      <c r="H1096" s="165">
        <v>102</v>
      </c>
      <c r="I1096" s="165">
        <v>42.024000000000001</v>
      </c>
      <c r="J1096" s="158">
        <v>325500</v>
      </c>
      <c r="K1096" s="158">
        <f t="shared" si="162"/>
        <v>13678812</v>
      </c>
      <c r="L1096" s="158"/>
      <c r="M1096" s="158"/>
      <c r="N1096" s="158">
        <f t="shared" ref="N1096" si="165">+J1096*I1096</f>
        <v>13678812</v>
      </c>
      <c r="O1096" s="158"/>
      <c r="P1096" s="156"/>
    </row>
    <row r="1097" spans="1:17" s="1" customFormat="1" ht="38.25" x14ac:dyDescent="0.2">
      <c r="A1097" t="s">
        <v>1681</v>
      </c>
      <c r="B1097" t="s">
        <v>1401</v>
      </c>
      <c r="C1097" s="1" t="s">
        <v>1683</v>
      </c>
      <c r="D1097" s="130" t="s">
        <v>129</v>
      </c>
      <c r="E1097" s="131" t="s">
        <v>468</v>
      </c>
      <c r="F1097" s="131" t="s">
        <v>469</v>
      </c>
      <c r="G1097" s="132" t="s">
        <v>1733</v>
      </c>
      <c r="H1097" s="159">
        <v>4.12</v>
      </c>
      <c r="I1097" s="159"/>
      <c r="J1097" s="158"/>
      <c r="K1097" s="158"/>
      <c r="L1097" s="158"/>
      <c r="M1097" s="158"/>
      <c r="N1097" s="158"/>
      <c r="O1097" s="158"/>
      <c r="P1097" s="153"/>
      <c r="Q1097" s="35"/>
    </row>
    <row r="1098" spans="1:17" s="14" customFormat="1" x14ac:dyDescent="0.2">
      <c r="A1098" t="s">
        <v>1681</v>
      </c>
      <c r="B1098" t="s">
        <v>1401</v>
      </c>
      <c r="C1098" s="14" t="s">
        <v>24</v>
      </c>
      <c r="D1098" s="134" t="s">
        <v>133</v>
      </c>
      <c r="E1098" s="135" t="s">
        <v>18</v>
      </c>
      <c r="F1098" s="160" t="s">
        <v>23</v>
      </c>
      <c r="G1098" s="135" t="s">
        <v>24</v>
      </c>
      <c r="H1098" s="158">
        <v>41.67</v>
      </c>
      <c r="I1098" s="158">
        <v>171.68039999999999</v>
      </c>
      <c r="J1098" s="158">
        <v>22914.53</v>
      </c>
      <c r="K1098" s="158">
        <f t="shared" ref="K1098:K1105" si="166">+J1098*I1098</f>
        <v>3933975.6762119997</v>
      </c>
      <c r="L1098" s="158">
        <f t="shared" ref="L1098:L1099" si="167">+J1098*I1098</f>
        <v>3933975.6762119997</v>
      </c>
      <c r="M1098" s="158"/>
      <c r="N1098" s="158"/>
      <c r="O1098" s="158"/>
      <c r="P1098" s="154"/>
    </row>
    <row r="1099" spans="1:17" s="16" customFormat="1" x14ac:dyDescent="0.2">
      <c r="A1099" t="s">
        <v>1681</v>
      </c>
      <c r="B1099" t="s">
        <v>1401</v>
      </c>
      <c r="C1099" s="14" t="s">
        <v>24</v>
      </c>
      <c r="D1099" s="134" t="s">
        <v>134</v>
      </c>
      <c r="E1099" s="135" t="s">
        <v>52</v>
      </c>
      <c r="F1099" s="160" t="s">
        <v>1687</v>
      </c>
      <c r="G1099" s="135" t="s">
        <v>24</v>
      </c>
      <c r="H1099" s="158">
        <v>0.9</v>
      </c>
      <c r="I1099" s="158">
        <v>3.7080000000000002</v>
      </c>
      <c r="J1099" s="158"/>
      <c r="K1099" s="158">
        <f t="shared" si="166"/>
        <v>0</v>
      </c>
      <c r="L1099" s="158">
        <f t="shared" si="167"/>
        <v>0</v>
      </c>
      <c r="M1099" s="158"/>
      <c r="N1099" s="158"/>
      <c r="O1099" s="158"/>
      <c r="P1099" s="156"/>
    </row>
    <row r="1100" spans="1:17" s="15" customFormat="1" x14ac:dyDescent="0.2">
      <c r="A1100" t="s">
        <v>1681</v>
      </c>
      <c r="B1100" t="s">
        <v>1401</v>
      </c>
      <c r="C1100" s="124" t="s">
        <v>28</v>
      </c>
      <c r="D1100" s="138" t="s">
        <v>135</v>
      </c>
      <c r="E1100" s="139" t="s">
        <v>472</v>
      </c>
      <c r="F1100" s="161" t="s">
        <v>473</v>
      </c>
      <c r="G1100" s="139" t="s">
        <v>28</v>
      </c>
      <c r="H1100" s="162">
        <v>15.16</v>
      </c>
      <c r="I1100" s="162">
        <v>62.459200000000003</v>
      </c>
      <c r="J1100" s="158">
        <v>235</v>
      </c>
      <c r="K1100" s="158">
        <f t="shared" si="166"/>
        <v>14677.912</v>
      </c>
      <c r="L1100" s="158"/>
      <c r="M1100" s="158">
        <f t="shared" ref="M1100:M1102" si="168">+J1100*I1100</f>
        <v>14677.912</v>
      </c>
      <c r="N1100" s="158"/>
      <c r="O1100" s="158"/>
      <c r="P1100" s="155"/>
    </row>
    <row r="1101" spans="1:17" s="15" customFormat="1" x14ac:dyDescent="0.2">
      <c r="A1101" t="s">
        <v>1681</v>
      </c>
      <c r="B1101" t="s">
        <v>1401</v>
      </c>
      <c r="C1101" s="124" t="s">
        <v>28</v>
      </c>
      <c r="D1101" s="138" t="s">
        <v>136</v>
      </c>
      <c r="E1101" s="139" t="s">
        <v>475</v>
      </c>
      <c r="F1101" s="161" t="s">
        <v>476</v>
      </c>
      <c r="G1101" s="139" t="s">
        <v>28</v>
      </c>
      <c r="H1101" s="162">
        <v>2.34</v>
      </c>
      <c r="I1101" s="162">
        <v>9.6408000000000005</v>
      </c>
      <c r="J1101" s="158">
        <v>6311</v>
      </c>
      <c r="K1101" s="158">
        <f t="shared" si="166"/>
        <v>60843.088800000005</v>
      </c>
      <c r="L1101" s="158"/>
      <c r="M1101" s="158">
        <f t="shared" si="168"/>
        <v>60843.088800000005</v>
      </c>
      <c r="N1101" s="158"/>
      <c r="O1101" s="158"/>
      <c r="P1101" s="155"/>
    </row>
    <row r="1102" spans="1:17" s="15" customFormat="1" x14ac:dyDescent="0.2">
      <c r="A1102" t="s">
        <v>1681</v>
      </c>
      <c r="B1102" t="s">
        <v>1401</v>
      </c>
      <c r="C1102" s="124" t="s">
        <v>28</v>
      </c>
      <c r="D1102" s="138" t="s">
        <v>1734</v>
      </c>
      <c r="E1102" s="139" t="s">
        <v>30</v>
      </c>
      <c r="F1102" s="161" t="s">
        <v>31</v>
      </c>
      <c r="G1102" s="139" t="s">
        <v>28</v>
      </c>
      <c r="H1102" s="162">
        <v>0.9</v>
      </c>
      <c r="I1102" s="162">
        <v>3.7080000000000002</v>
      </c>
      <c r="J1102" s="158">
        <v>106655</v>
      </c>
      <c r="K1102" s="158">
        <f t="shared" si="166"/>
        <v>395476.74</v>
      </c>
      <c r="L1102" s="158"/>
      <c r="M1102" s="158">
        <f t="shared" si="168"/>
        <v>395476.74</v>
      </c>
      <c r="N1102" s="158"/>
      <c r="O1102" s="158"/>
      <c r="P1102" s="155"/>
    </row>
    <row r="1103" spans="1:17" s="16" customFormat="1" x14ac:dyDescent="0.2">
      <c r="A1103" t="s">
        <v>1681</v>
      </c>
      <c r="B1103" t="s">
        <v>1401</v>
      </c>
      <c r="C1103" s="16" t="s">
        <v>1723</v>
      </c>
      <c r="D1103" s="142" t="s">
        <v>1735</v>
      </c>
      <c r="E1103" s="143" t="s">
        <v>482</v>
      </c>
      <c r="F1103" s="164" t="s">
        <v>483</v>
      </c>
      <c r="G1103" s="143" t="s">
        <v>107</v>
      </c>
      <c r="H1103" s="165">
        <v>0.25</v>
      </c>
      <c r="I1103" s="165">
        <v>1.03</v>
      </c>
      <c r="J1103" s="158">
        <v>8929000</v>
      </c>
      <c r="K1103" s="158">
        <f t="shared" si="166"/>
        <v>9196870</v>
      </c>
      <c r="L1103" s="158"/>
      <c r="M1103" s="158"/>
      <c r="N1103" s="158">
        <f t="shared" ref="N1103:N1105" si="169">+J1103*I1103</f>
        <v>9196870</v>
      </c>
      <c r="O1103" s="158"/>
      <c r="P1103" s="156"/>
    </row>
    <row r="1104" spans="1:17" s="16" customFormat="1" x14ac:dyDescent="0.2">
      <c r="A1104" t="s">
        <v>1681</v>
      </c>
      <c r="B1104" t="s">
        <v>1401</v>
      </c>
      <c r="C1104" s="16" t="s">
        <v>1723</v>
      </c>
      <c r="D1104" s="142" t="s">
        <v>1736</v>
      </c>
      <c r="E1104" s="143" t="s">
        <v>485</v>
      </c>
      <c r="F1104" s="164" t="s">
        <v>486</v>
      </c>
      <c r="G1104" s="143" t="s">
        <v>250</v>
      </c>
      <c r="H1104" s="165">
        <v>30</v>
      </c>
      <c r="I1104" s="165">
        <v>123.6</v>
      </c>
      <c r="J1104" s="158">
        <v>2500</v>
      </c>
      <c r="K1104" s="158">
        <f t="shared" si="166"/>
        <v>309000</v>
      </c>
      <c r="L1104" s="158"/>
      <c r="M1104" s="158"/>
      <c r="N1104" s="158">
        <f t="shared" si="169"/>
        <v>309000</v>
      </c>
      <c r="O1104" s="158"/>
      <c r="P1104" s="156"/>
    </row>
    <row r="1105" spans="1:17" s="16" customFormat="1" ht="24" x14ac:dyDescent="0.2">
      <c r="A1105" t="s">
        <v>1681</v>
      </c>
      <c r="B1105" t="s">
        <v>1401</v>
      </c>
      <c r="C1105" s="16" t="s">
        <v>1723</v>
      </c>
      <c r="D1105" s="142" t="s">
        <v>1737</v>
      </c>
      <c r="E1105" s="143" t="s">
        <v>1738</v>
      </c>
      <c r="F1105" s="164" t="s">
        <v>1739</v>
      </c>
      <c r="G1105" s="143" t="s">
        <v>38</v>
      </c>
      <c r="H1105" s="165">
        <v>120</v>
      </c>
      <c r="I1105" s="165">
        <v>494.4</v>
      </c>
      <c r="J1105" s="158">
        <v>18750</v>
      </c>
      <c r="K1105" s="158">
        <f t="shared" si="166"/>
        <v>9270000</v>
      </c>
      <c r="L1105" s="158"/>
      <c r="M1105" s="158"/>
      <c r="N1105" s="158">
        <f t="shared" si="169"/>
        <v>9270000</v>
      </c>
      <c r="O1105" s="158"/>
      <c r="P1105" s="156"/>
    </row>
    <row r="1106" spans="1:17" s="1" customFormat="1" ht="38.25" x14ac:dyDescent="0.2">
      <c r="A1106" t="s">
        <v>1681</v>
      </c>
      <c r="B1106" t="s">
        <v>1401</v>
      </c>
      <c r="C1106" s="1" t="s">
        <v>1683</v>
      </c>
      <c r="D1106" s="130" t="s">
        <v>140</v>
      </c>
      <c r="E1106" s="131" t="s">
        <v>488</v>
      </c>
      <c r="F1106" s="131" t="s">
        <v>489</v>
      </c>
      <c r="G1106" s="132" t="s">
        <v>1733</v>
      </c>
      <c r="H1106" s="159">
        <v>4.12</v>
      </c>
      <c r="I1106" s="159"/>
      <c r="J1106" s="158"/>
      <c r="K1106" s="158"/>
      <c r="L1106" s="158"/>
      <c r="M1106" s="158"/>
      <c r="N1106" s="158"/>
      <c r="O1106" s="158"/>
      <c r="P1106" s="153"/>
      <c r="Q1106" s="35"/>
    </row>
    <row r="1107" spans="1:17" s="14" customFormat="1" x14ac:dyDescent="0.2">
      <c r="A1107" t="s">
        <v>1681</v>
      </c>
      <c r="B1107" t="s">
        <v>1401</v>
      </c>
      <c r="C1107" s="14" t="s">
        <v>24</v>
      </c>
      <c r="D1107" s="134" t="s">
        <v>143</v>
      </c>
      <c r="E1107" s="135" t="s">
        <v>18</v>
      </c>
      <c r="F1107" s="160" t="s">
        <v>23</v>
      </c>
      <c r="G1107" s="135" t="s">
        <v>24</v>
      </c>
      <c r="H1107" s="158">
        <v>23.43</v>
      </c>
      <c r="I1107" s="158">
        <v>96.531599999999997</v>
      </c>
      <c r="J1107" s="158">
        <v>22914.53</v>
      </c>
      <c r="K1107" s="158">
        <f t="shared" ref="K1107:K1113" si="170">+J1107*I1107</f>
        <v>2211976.2441479997</v>
      </c>
      <c r="L1107" s="158">
        <f t="shared" ref="L1107:L1108" si="171">+J1107*I1107</f>
        <v>2211976.2441479997</v>
      </c>
      <c r="M1107" s="158"/>
      <c r="N1107" s="158"/>
      <c r="O1107" s="158"/>
      <c r="P1107" s="154"/>
    </row>
    <row r="1108" spans="1:17" s="16" customFormat="1" x14ac:dyDescent="0.2">
      <c r="A1108" t="s">
        <v>1681</v>
      </c>
      <c r="B1108" t="s">
        <v>1401</v>
      </c>
      <c r="C1108" s="14" t="s">
        <v>24</v>
      </c>
      <c r="D1108" s="134" t="s">
        <v>144</v>
      </c>
      <c r="E1108" s="135" t="s">
        <v>52</v>
      </c>
      <c r="F1108" s="160" t="s">
        <v>1687</v>
      </c>
      <c r="G1108" s="135" t="s">
        <v>24</v>
      </c>
      <c r="H1108" s="158">
        <v>0.63</v>
      </c>
      <c r="I1108" s="158">
        <v>2.5956000000000001</v>
      </c>
      <c r="J1108" s="158"/>
      <c r="K1108" s="158">
        <f t="shared" si="170"/>
        <v>0</v>
      </c>
      <c r="L1108" s="158">
        <f t="shared" si="171"/>
        <v>0</v>
      </c>
      <c r="M1108" s="158"/>
      <c r="N1108" s="158"/>
      <c r="O1108" s="158"/>
      <c r="P1108" s="156"/>
    </row>
    <row r="1109" spans="1:17" s="15" customFormat="1" x14ac:dyDescent="0.2">
      <c r="A1109" t="s">
        <v>1681</v>
      </c>
      <c r="B1109" t="s">
        <v>1401</v>
      </c>
      <c r="C1109" s="124" t="s">
        <v>28</v>
      </c>
      <c r="D1109" s="138" t="s">
        <v>145</v>
      </c>
      <c r="E1109" s="139" t="s">
        <v>472</v>
      </c>
      <c r="F1109" s="161" t="s">
        <v>473</v>
      </c>
      <c r="G1109" s="139" t="s">
        <v>28</v>
      </c>
      <c r="H1109" s="162">
        <v>8.6999999999999993</v>
      </c>
      <c r="I1109" s="162">
        <v>35.844000000000001</v>
      </c>
      <c r="J1109" s="158">
        <v>235</v>
      </c>
      <c r="K1109" s="158">
        <f t="shared" si="170"/>
        <v>8423.34</v>
      </c>
      <c r="L1109" s="158"/>
      <c r="M1109" s="158">
        <f t="shared" ref="M1109:M1110" si="172">+J1109*I1109</f>
        <v>8423.34</v>
      </c>
      <c r="N1109" s="158"/>
      <c r="O1109" s="158"/>
      <c r="P1109" s="155"/>
    </row>
    <row r="1110" spans="1:17" s="15" customFormat="1" x14ac:dyDescent="0.2">
      <c r="A1110" t="s">
        <v>1681</v>
      </c>
      <c r="B1110" t="s">
        <v>1401</v>
      </c>
      <c r="C1110" s="124" t="s">
        <v>28</v>
      </c>
      <c r="D1110" s="138" t="s">
        <v>146</v>
      </c>
      <c r="E1110" s="139" t="s">
        <v>30</v>
      </c>
      <c r="F1110" s="161" t="s">
        <v>31</v>
      </c>
      <c r="G1110" s="139" t="s">
        <v>28</v>
      </c>
      <c r="H1110" s="162">
        <v>0.63</v>
      </c>
      <c r="I1110" s="162">
        <v>2.5956000000000001</v>
      </c>
      <c r="J1110" s="158">
        <v>106655</v>
      </c>
      <c r="K1110" s="158">
        <f t="shared" si="170"/>
        <v>276833.71799999999</v>
      </c>
      <c r="L1110" s="158"/>
      <c r="M1110" s="158">
        <f t="shared" si="172"/>
        <v>276833.71799999999</v>
      </c>
      <c r="N1110" s="158"/>
      <c r="O1110" s="158"/>
      <c r="P1110" s="155"/>
    </row>
    <row r="1111" spans="1:17" s="16" customFormat="1" x14ac:dyDescent="0.2">
      <c r="A1111" t="s">
        <v>1681</v>
      </c>
      <c r="B1111" t="s">
        <v>1401</v>
      </c>
      <c r="C1111" s="16" t="s">
        <v>1723</v>
      </c>
      <c r="D1111" s="142" t="s">
        <v>1740</v>
      </c>
      <c r="E1111" s="143" t="s">
        <v>482</v>
      </c>
      <c r="F1111" s="164" t="s">
        <v>483</v>
      </c>
      <c r="G1111" s="143" t="s">
        <v>107</v>
      </c>
      <c r="H1111" s="165">
        <v>0.25</v>
      </c>
      <c r="I1111" s="165">
        <v>1.03</v>
      </c>
      <c r="J1111" s="158">
        <v>8929000</v>
      </c>
      <c r="K1111" s="158">
        <f t="shared" si="170"/>
        <v>9196870</v>
      </c>
      <c r="L1111" s="158"/>
      <c r="M1111" s="158"/>
      <c r="N1111" s="158">
        <f t="shared" ref="N1111:N1113" si="173">+J1111*I1111</f>
        <v>9196870</v>
      </c>
      <c r="O1111" s="158"/>
      <c r="P1111" s="156"/>
    </row>
    <row r="1112" spans="1:17" s="16" customFormat="1" x14ac:dyDescent="0.2">
      <c r="A1112" t="s">
        <v>1681</v>
      </c>
      <c r="B1112" t="s">
        <v>1401</v>
      </c>
      <c r="C1112" s="16" t="s">
        <v>1723</v>
      </c>
      <c r="D1112" s="142" t="s">
        <v>1741</v>
      </c>
      <c r="E1112" s="143" t="s">
        <v>485</v>
      </c>
      <c r="F1112" s="164" t="s">
        <v>486</v>
      </c>
      <c r="G1112" s="143" t="s">
        <v>250</v>
      </c>
      <c r="H1112" s="165">
        <v>30</v>
      </c>
      <c r="I1112" s="165">
        <v>123.6</v>
      </c>
      <c r="J1112" s="158">
        <v>2500</v>
      </c>
      <c r="K1112" s="158">
        <f t="shared" si="170"/>
        <v>309000</v>
      </c>
      <c r="L1112" s="158"/>
      <c r="M1112" s="158"/>
      <c r="N1112" s="158">
        <f t="shared" si="173"/>
        <v>309000</v>
      </c>
      <c r="O1112" s="158"/>
      <c r="P1112" s="156"/>
    </row>
    <row r="1113" spans="1:17" s="16" customFormat="1" ht="24" x14ac:dyDescent="0.2">
      <c r="A1113" t="s">
        <v>1681</v>
      </c>
      <c r="B1113" t="s">
        <v>1401</v>
      </c>
      <c r="C1113" s="16" t="s">
        <v>1723</v>
      </c>
      <c r="D1113" s="142" t="s">
        <v>1742</v>
      </c>
      <c r="E1113" s="143" t="s">
        <v>1738</v>
      </c>
      <c r="F1113" s="164" t="s">
        <v>1739</v>
      </c>
      <c r="G1113" s="143" t="s">
        <v>38</v>
      </c>
      <c r="H1113" s="165">
        <v>120</v>
      </c>
      <c r="I1113" s="165">
        <v>494.4</v>
      </c>
      <c r="J1113" s="158">
        <v>18750</v>
      </c>
      <c r="K1113" s="158">
        <f t="shared" si="170"/>
        <v>9270000</v>
      </c>
      <c r="L1113" s="158"/>
      <c r="M1113" s="158"/>
      <c r="N1113" s="158">
        <f t="shared" si="173"/>
        <v>9270000</v>
      </c>
      <c r="O1113" s="158"/>
      <c r="P1113" s="156"/>
    </row>
    <row r="1114" spans="1:17" s="1" customFormat="1" ht="15.75" customHeight="1" x14ac:dyDescent="0.2">
      <c r="A1114" t="s">
        <v>1681</v>
      </c>
      <c r="B1114" t="s">
        <v>1401</v>
      </c>
      <c r="C1114" s="1" t="s">
        <v>1683</v>
      </c>
      <c r="D1114" s="130" t="s">
        <v>149</v>
      </c>
      <c r="E1114" s="131" t="s">
        <v>444</v>
      </c>
      <c r="F1114" s="131" t="s">
        <v>445</v>
      </c>
      <c r="G1114" s="132" t="s">
        <v>1733</v>
      </c>
      <c r="H1114" s="159">
        <v>4.12</v>
      </c>
      <c r="I1114" s="159"/>
      <c r="J1114" s="158"/>
      <c r="K1114" s="158"/>
      <c r="L1114" s="158"/>
      <c r="M1114" s="158"/>
      <c r="N1114" s="158"/>
      <c r="O1114" s="158"/>
      <c r="P1114" s="153"/>
      <c r="Q1114" s="35"/>
    </row>
    <row r="1115" spans="1:17" s="14" customFormat="1" x14ac:dyDescent="0.2">
      <c r="A1115" t="s">
        <v>1681</v>
      </c>
      <c r="B1115" t="s">
        <v>1401</v>
      </c>
      <c r="C1115" s="14" t="s">
        <v>24</v>
      </c>
      <c r="D1115" s="134" t="s">
        <v>152</v>
      </c>
      <c r="E1115" s="135" t="s">
        <v>18</v>
      </c>
      <c r="F1115" s="160" t="s">
        <v>23</v>
      </c>
      <c r="G1115" s="135" t="s">
        <v>24</v>
      </c>
      <c r="H1115" s="158">
        <v>39.51</v>
      </c>
      <c r="I1115" s="158">
        <v>162.78120000000001</v>
      </c>
      <c r="J1115" s="158">
        <v>22914.53</v>
      </c>
      <c r="K1115" s="158">
        <f t="shared" ref="K1115:K1117" si="174">+J1115*I1115</f>
        <v>3730054.6908360003</v>
      </c>
      <c r="L1115" s="158">
        <f>+J1115*I1115</f>
        <v>3730054.6908360003</v>
      </c>
      <c r="M1115" s="158"/>
      <c r="N1115" s="158"/>
      <c r="O1115" s="158"/>
      <c r="P1115" s="154"/>
    </row>
    <row r="1116" spans="1:17" s="15" customFormat="1" x14ac:dyDescent="0.2">
      <c r="A1116" t="s">
        <v>1681</v>
      </c>
      <c r="B1116" t="s">
        <v>1401</v>
      </c>
      <c r="C1116" s="124" t="s">
        <v>28</v>
      </c>
      <c r="D1116" s="138" t="s">
        <v>153</v>
      </c>
      <c r="E1116" s="139" t="s">
        <v>1743</v>
      </c>
      <c r="F1116" s="161" t="s">
        <v>1744</v>
      </c>
      <c r="G1116" s="139" t="s">
        <v>28</v>
      </c>
      <c r="H1116" s="162">
        <v>9.07</v>
      </c>
      <c r="I1116" s="162">
        <v>37.368400000000001</v>
      </c>
      <c r="J1116" s="158">
        <v>965</v>
      </c>
      <c r="K1116" s="158">
        <f t="shared" si="174"/>
        <v>36060.506000000001</v>
      </c>
      <c r="L1116" s="158"/>
      <c r="M1116" s="158">
        <f>+J1116*I1116</f>
        <v>36060.506000000001</v>
      </c>
      <c r="N1116" s="158"/>
      <c r="O1116" s="158"/>
      <c r="P1116" s="155"/>
    </row>
    <row r="1117" spans="1:17" s="16" customFormat="1" x14ac:dyDescent="0.2">
      <c r="A1117" t="s">
        <v>1681</v>
      </c>
      <c r="B1117" t="s">
        <v>1401</v>
      </c>
      <c r="C1117" s="16" t="s">
        <v>1723</v>
      </c>
      <c r="D1117" s="142" t="s">
        <v>154</v>
      </c>
      <c r="E1117" s="143" t="s">
        <v>841</v>
      </c>
      <c r="F1117" s="164" t="s">
        <v>842</v>
      </c>
      <c r="G1117" s="143" t="s">
        <v>420</v>
      </c>
      <c r="H1117" s="165">
        <v>2.04</v>
      </c>
      <c r="I1117" s="165">
        <v>8.4047999999999998</v>
      </c>
      <c r="J1117" s="158">
        <v>484821</v>
      </c>
      <c r="K1117" s="158">
        <f t="shared" si="174"/>
        <v>4074823.5408000001</v>
      </c>
      <c r="L1117" s="158"/>
      <c r="M1117" s="158"/>
      <c r="N1117" s="158">
        <f t="shared" ref="N1117" si="175">+J1117*I1117</f>
        <v>4074823.5408000001</v>
      </c>
      <c r="O1117" s="158"/>
      <c r="P1117" s="156"/>
    </row>
    <row r="1118" spans="1:17" s="1" customFormat="1" ht="38.25" x14ac:dyDescent="0.2">
      <c r="A1118" t="s">
        <v>1681</v>
      </c>
      <c r="B1118" t="s">
        <v>1401</v>
      </c>
      <c r="C1118" s="1" t="s">
        <v>1683</v>
      </c>
      <c r="D1118" s="130" t="s">
        <v>161</v>
      </c>
      <c r="E1118" s="131" t="s">
        <v>510</v>
      </c>
      <c r="F1118" s="131" t="s">
        <v>452</v>
      </c>
      <c r="G1118" s="132" t="s">
        <v>1733</v>
      </c>
      <c r="H1118" s="159">
        <v>4.12</v>
      </c>
      <c r="I1118" s="159"/>
      <c r="J1118" s="158"/>
      <c r="K1118" s="158"/>
      <c r="L1118" s="158"/>
      <c r="M1118" s="158"/>
      <c r="N1118" s="158"/>
      <c r="O1118" s="158"/>
      <c r="P1118" s="153"/>
      <c r="Q1118" s="35"/>
    </row>
    <row r="1119" spans="1:17" s="14" customFormat="1" x14ac:dyDescent="0.2">
      <c r="A1119" t="s">
        <v>1681</v>
      </c>
      <c r="B1119" t="s">
        <v>1401</v>
      </c>
      <c r="C1119" s="14" t="s">
        <v>24</v>
      </c>
      <c r="D1119" s="134" t="s">
        <v>164</v>
      </c>
      <c r="E1119" s="135" t="s">
        <v>18</v>
      </c>
      <c r="F1119" s="160" t="s">
        <v>23</v>
      </c>
      <c r="G1119" s="135" t="s">
        <v>24</v>
      </c>
      <c r="H1119" s="158">
        <v>3</v>
      </c>
      <c r="I1119" s="158">
        <v>12.36</v>
      </c>
      <c r="J1119" s="158">
        <v>22914.53</v>
      </c>
      <c r="K1119" s="158">
        <f t="shared" ref="K1119:K1121" si="176">+J1119*I1119</f>
        <v>283223.59079999995</v>
      </c>
      <c r="L1119" s="158">
        <f>+J1119*I1119</f>
        <v>283223.59079999995</v>
      </c>
      <c r="M1119" s="158"/>
      <c r="N1119" s="158"/>
      <c r="O1119" s="158"/>
      <c r="P1119" s="154"/>
    </row>
    <row r="1120" spans="1:17" s="15" customFormat="1" x14ac:dyDescent="0.2">
      <c r="A1120" t="s">
        <v>1681</v>
      </c>
      <c r="B1120" t="s">
        <v>1401</v>
      </c>
      <c r="C1120" s="124" t="s">
        <v>28</v>
      </c>
      <c r="D1120" s="138" t="s">
        <v>165</v>
      </c>
      <c r="E1120" s="139" t="s">
        <v>1743</v>
      </c>
      <c r="F1120" s="161" t="s">
        <v>1744</v>
      </c>
      <c r="G1120" s="139" t="s">
        <v>28</v>
      </c>
      <c r="H1120" s="162">
        <v>13.92</v>
      </c>
      <c r="I1120" s="162">
        <v>57.3504</v>
      </c>
      <c r="J1120" s="158">
        <v>965</v>
      </c>
      <c r="K1120" s="158">
        <f t="shared" si="176"/>
        <v>55343.135999999999</v>
      </c>
      <c r="L1120" s="158"/>
      <c r="M1120" s="158">
        <f>+J1120*I1120</f>
        <v>55343.135999999999</v>
      </c>
      <c r="N1120" s="158"/>
      <c r="O1120" s="158"/>
      <c r="P1120" s="155"/>
    </row>
    <row r="1121" spans="1:17" s="16" customFormat="1" x14ac:dyDescent="0.2">
      <c r="A1121" t="s">
        <v>1681</v>
      </c>
      <c r="B1121" t="s">
        <v>1401</v>
      </c>
      <c r="C1121" s="16" t="s">
        <v>1723</v>
      </c>
      <c r="D1121" s="142" t="s">
        <v>166</v>
      </c>
      <c r="E1121" s="143" t="s">
        <v>841</v>
      </c>
      <c r="F1121" s="164" t="s">
        <v>842</v>
      </c>
      <c r="G1121" s="143" t="s">
        <v>420</v>
      </c>
      <c r="H1121" s="165">
        <v>3.06</v>
      </c>
      <c r="I1121" s="165">
        <v>12.607200000000001</v>
      </c>
      <c r="J1121" s="158">
        <v>484821</v>
      </c>
      <c r="K1121" s="158">
        <f t="shared" si="176"/>
        <v>6112235.3112000003</v>
      </c>
      <c r="L1121" s="158"/>
      <c r="M1121" s="158"/>
      <c r="N1121" s="158">
        <f t="shared" ref="N1121" si="177">+J1121*I1121</f>
        <v>6112235.3112000003</v>
      </c>
      <c r="O1121" s="158"/>
      <c r="P1121" s="156"/>
    </row>
    <row r="1122" spans="1:17" ht="15.75" x14ac:dyDescent="0.25">
      <c r="A1122" t="s">
        <v>1681</v>
      </c>
      <c r="B1122" t="s">
        <v>1401</v>
      </c>
      <c r="D1122" s="151" t="s">
        <v>1745</v>
      </c>
      <c r="E1122" s="128"/>
      <c r="F1122" s="163"/>
      <c r="G1122" s="128"/>
      <c r="H1122" s="128"/>
      <c r="I1122" s="128"/>
      <c r="J1122" s="158"/>
      <c r="K1122" s="158"/>
      <c r="L1122" s="158"/>
      <c r="M1122" s="158"/>
      <c r="N1122" s="158"/>
      <c r="O1122" s="158"/>
      <c r="P1122" s="152"/>
    </row>
    <row r="1123" spans="1:17" s="1" customFormat="1" ht="38.25" x14ac:dyDescent="0.2">
      <c r="A1123" t="s">
        <v>1681</v>
      </c>
      <c r="B1123" t="s">
        <v>1401</v>
      </c>
      <c r="C1123" s="1" t="s">
        <v>1683</v>
      </c>
      <c r="D1123" s="130" t="s">
        <v>169</v>
      </c>
      <c r="E1123" s="131" t="s">
        <v>1746</v>
      </c>
      <c r="F1123" s="131" t="s">
        <v>1747</v>
      </c>
      <c r="G1123" s="132" t="s">
        <v>1733</v>
      </c>
      <c r="H1123" s="159">
        <v>2.8959999999999999</v>
      </c>
      <c r="I1123" s="159"/>
      <c r="J1123" s="158"/>
      <c r="K1123" s="158"/>
      <c r="L1123" s="158"/>
      <c r="M1123" s="158"/>
      <c r="N1123" s="158"/>
      <c r="O1123" s="158"/>
      <c r="P1123" s="153"/>
      <c r="Q1123" s="35"/>
    </row>
    <row r="1124" spans="1:17" s="14" customFormat="1" x14ac:dyDescent="0.2">
      <c r="A1124" t="s">
        <v>1681</v>
      </c>
      <c r="B1124" t="s">
        <v>1401</v>
      </c>
      <c r="C1124" s="14" t="s">
        <v>24</v>
      </c>
      <c r="D1124" s="134" t="s">
        <v>1748</v>
      </c>
      <c r="E1124" s="135" t="s">
        <v>18</v>
      </c>
      <c r="F1124" s="160" t="s">
        <v>23</v>
      </c>
      <c r="G1124" s="135" t="s">
        <v>24</v>
      </c>
      <c r="H1124" s="158">
        <v>45.4</v>
      </c>
      <c r="I1124" s="158">
        <v>131.47839999999999</v>
      </c>
      <c r="J1124" s="158">
        <v>22914.53</v>
      </c>
      <c r="K1124" s="158">
        <f t="shared" ref="K1124:K1129" si="178">+J1124*I1124</f>
        <v>3012765.7411519997</v>
      </c>
      <c r="L1124" s="158">
        <f t="shared" ref="L1124:L1125" si="179">+J1124*I1124</f>
        <v>3012765.7411519997</v>
      </c>
      <c r="M1124" s="158"/>
      <c r="N1124" s="158"/>
      <c r="O1124" s="158"/>
      <c r="P1124" s="154"/>
    </row>
    <row r="1125" spans="1:17" s="16" customFormat="1" x14ac:dyDescent="0.2">
      <c r="A1125" t="s">
        <v>1681</v>
      </c>
      <c r="B1125" t="s">
        <v>1401</v>
      </c>
      <c r="C1125" s="14" t="s">
        <v>24</v>
      </c>
      <c r="D1125" s="134" t="s">
        <v>1749</v>
      </c>
      <c r="E1125" s="135" t="s">
        <v>52</v>
      </c>
      <c r="F1125" s="160" t="s">
        <v>1687</v>
      </c>
      <c r="G1125" s="135" t="s">
        <v>24</v>
      </c>
      <c r="H1125" s="158">
        <v>0.55000000000000004</v>
      </c>
      <c r="I1125" s="158">
        <v>1.5928</v>
      </c>
      <c r="J1125" s="158"/>
      <c r="K1125" s="158">
        <f t="shared" si="178"/>
        <v>0</v>
      </c>
      <c r="L1125" s="158">
        <f t="shared" si="179"/>
        <v>0</v>
      </c>
      <c r="M1125" s="158"/>
      <c r="N1125" s="158"/>
      <c r="O1125" s="158"/>
      <c r="P1125" s="156"/>
    </row>
    <row r="1126" spans="1:17" s="15" customFormat="1" x14ac:dyDescent="0.2">
      <c r="A1126" t="s">
        <v>1681</v>
      </c>
      <c r="B1126" t="s">
        <v>1401</v>
      </c>
      <c r="C1126" s="124" t="s">
        <v>28</v>
      </c>
      <c r="D1126" s="138" t="s">
        <v>1750</v>
      </c>
      <c r="E1126" s="139" t="s">
        <v>475</v>
      </c>
      <c r="F1126" s="161" t="s">
        <v>476</v>
      </c>
      <c r="G1126" s="139" t="s">
        <v>28</v>
      </c>
      <c r="H1126" s="162">
        <v>2</v>
      </c>
      <c r="I1126" s="162">
        <v>5.7919999999999998</v>
      </c>
      <c r="J1126" s="158">
        <v>6311</v>
      </c>
      <c r="K1126" s="158">
        <f t="shared" si="178"/>
        <v>36553.311999999998</v>
      </c>
      <c r="L1126" s="158"/>
      <c r="M1126" s="158">
        <f t="shared" ref="M1126:M1127" si="180">+J1126*I1126</f>
        <v>36553.311999999998</v>
      </c>
      <c r="N1126" s="158"/>
      <c r="O1126" s="158"/>
      <c r="P1126" s="155"/>
    </row>
    <row r="1127" spans="1:17" s="15" customFormat="1" x14ac:dyDescent="0.2">
      <c r="A1127" t="s">
        <v>1681</v>
      </c>
      <c r="B1127" t="s">
        <v>1401</v>
      </c>
      <c r="C1127" s="124" t="s">
        <v>28</v>
      </c>
      <c r="D1127" s="138" t="s">
        <v>1751</v>
      </c>
      <c r="E1127" s="139" t="s">
        <v>30</v>
      </c>
      <c r="F1127" s="161" t="s">
        <v>31</v>
      </c>
      <c r="G1127" s="139" t="s">
        <v>28</v>
      </c>
      <c r="H1127" s="162">
        <v>0.55000000000000004</v>
      </c>
      <c r="I1127" s="162">
        <v>1.5928</v>
      </c>
      <c r="J1127" s="158">
        <v>106655</v>
      </c>
      <c r="K1127" s="158">
        <f t="shared" si="178"/>
        <v>169880.084</v>
      </c>
      <c r="L1127" s="158"/>
      <c r="M1127" s="158">
        <f t="shared" si="180"/>
        <v>169880.084</v>
      </c>
      <c r="N1127" s="158"/>
      <c r="O1127" s="158"/>
      <c r="P1127" s="155"/>
    </row>
    <row r="1128" spans="1:17" s="16" customFormat="1" x14ac:dyDescent="0.2">
      <c r="A1128" t="s">
        <v>1681</v>
      </c>
      <c r="B1128" t="s">
        <v>1401</v>
      </c>
      <c r="C1128" s="16" t="s">
        <v>1723</v>
      </c>
      <c r="D1128" s="142" t="s">
        <v>1752</v>
      </c>
      <c r="E1128" s="143" t="s">
        <v>1753</v>
      </c>
      <c r="F1128" s="164" t="s">
        <v>1754</v>
      </c>
      <c r="G1128" s="143" t="s">
        <v>107</v>
      </c>
      <c r="H1128" s="165">
        <v>0.48799999999999999</v>
      </c>
      <c r="I1128" s="165">
        <v>1.4132</v>
      </c>
      <c r="J1128" s="158">
        <v>8929000</v>
      </c>
      <c r="K1128" s="158">
        <f t="shared" si="178"/>
        <v>12618462.800000001</v>
      </c>
      <c r="L1128" s="158"/>
      <c r="M1128" s="158"/>
      <c r="N1128" s="158">
        <f t="shared" ref="N1128:N1129" si="181">+J1128*I1128</f>
        <v>12618462.800000001</v>
      </c>
      <c r="O1128" s="158"/>
      <c r="P1128" s="156"/>
    </row>
    <row r="1129" spans="1:17" s="16" customFormat="1" ht="36" x14ac:dyDescent="0.2">
      <c r="A1129" t="s">
        <v>1681</v>
      </c>
      <c r="B1129" t="s">
        <v>1401</v>
      </c>
      <c r="C1129" s="16" t="s">
        <v>1723</v>
      </c>
      <c r="D1129" s="142" t="s">
        <v>1755</v>
      </c>
      <c r="E1129" s="143" t="s">
        <v>1756</v>
      </c>
      <c r="F1129" s="164" t="s">
        <v>1757</v>
      </c>
      <c r="G1129" s="143" t="s">
        <v>38</v>
      </c>
      <c r="H1129" s="165">
        <v>234</v>
      </c>
      <c r="I1129" s="165">
        <v>677.66399999999999</v>
      </c>
      <c r="J1129" s="158">
        <v>18750</v>
      </c>
      <c r="K1129" s="158">
        <f t="shared" si="178"/>
        <v>12706200</v>
      </c>
      <c r="L1129" s="158"/>
      <c r="M1129" s="158"/>
      <c r="N1129" s="158">
        <f t="shared" si="181"/>
        <v>12706200</v>
      </c>
      <c r="O1129" s="158"/>
      <c r="P1129" s="156"/>
    </row>
    <row r="1130" spans="1:17" s="1" customFormat="1" x14ac:dyDescent="0.2">
      <c r="A1130" t="s">
        <v>1681</v>
      </c>
      <c r="B1130" t="s">
        <v>1401</v>
      </c>
      <c r="C1130" s="1" t="s">
        <v>1683</v>
      </c>
      <c r="D1130" s="130" t="s">
        <v>172</v>
      </c>
      <c r="E1130" s="131" t="s">
        <v>710</v>
      </c>
      <c r="F1130" s="131" t="s">
        <v>711</v>
      </c>
      <c r="G1130" s="132" t="s">
        <v>1758</v>
      </c>
      <c r="H1130" s="159">
        <v>28.96</v>
      </c>
      <c r="I1130" s="159"/>
      <c r="J1130" s="158"/>
      <c r="K1130" s="158"/>
      <c r="L1130" s="158"/>
      <c r="M1130" s="158"/>
      <c r="N1130" s="158"/>
      <c r="O1130" s="158"/>
      <c r="P1130" s="153"/>
      <c r="Q1130" s="35"/>
    </row>
    <row r="1131" spans="1:17" s="14" customFormat="1" x14ac:dyDescent="0.2">
      <c r="A1131" t="s">
        <v>1681</v>
      </c>
      <c r="B1131" t="s">
        <v>1401</v>
      </c>
      <c r="C1131" s="14" t="s">
        <v>24</v>
      </c>
      <c r="D1131" s="134" t="s">
        <v>1759</v>
      </c>
      <c r="E1131" s="135" t="s">
        <v>18</v>
      </c>
      <c r="F1131" s="160" t="s">
        <v>23</v>
      </c>
      <c r="G1131" s="135" t="s">
        <v>24</v>
      </c>
      <c r="H1131" s="158">
        <v>7.6</v>
      </c>
      <c r="I1131" s="158">
        <v>220.096</v>
      </c>
      <c r="J1131" s="158">
        <v>22914.53</v>
      </c>
      <c r="K1131" s="158">
        <f t="shared" ref="K1131:K1133" si="182">+J1131*I1131</f>
        <v>5043396.3948799996</v>
      </c>
      <c r="L1131" s="158">
        <f t="shared" ref="L1131:L1132" si="183">+J1131*I1131</f>
        <v>5043396.3948799996</v>
      </c>
      <c r="M1131" s="158"/>
      <c r="N1131" s="158"/>
      <c r="O1131" s="158"/>
      <c r="P1131" s="154"/>
    </row>
    <row r="1132" spans="1:17" s="16" customFormat="1" x14ac:dyDescent="0.2">
      <c r="A1132" t="s">
        <v>1681</v>
      </c>
      <c r="B1132" t="s">
        <v>1401</v>
      </c>
      <c r="C1132" s="14" t="s">
        <v>24</v>
      </c>
      <c r="D1132" s="134" t="s">
        <v>1760</v>
      </c>
      <c r="E1132" s="135" t="s">
        <v>52</v>
      </c>
      <c r="F1132" s="160" t="s">
        <v>1687</v>
      </c>
      <c r="G1132" s="135" t="s">
        <v>24</v>
      </c>
      <c r="H1132" s="158">
        <v>0.01</v>
      </c>
      <c r="I1132" s="158">
        <v>0.28960000000000002</v>
      </c>
      <c r="J1132" s="158"/>
      <c r="K1132" s="158">
        <f t="shared" si="182"/>
        <v>0</v>
      </c>
      <c r="L1132" s="158">
        <f t="shared" si="183"/>
        <v>0</v>
      </c>
      <c r="M1132" s="158"/>
      <c r="N1132" s="158"/>
      <c r="O1132" s="158"/>
      <c r="P1132" s="156"/>
    </row>
    <row r="1133" spans="1:17" s="15" customFormat="1" x14ac:dyDescent="0.2">
      <c r="A1133" t="s">
        <v>1681</v>
      </c>
      <c r="B1133" t="s">
        <v>1401</v>
      </c>
      <c r="C1133" s="124" t="s">
        <v>28</v>
      </c>
      <c r="D1133" s="138" t="s">
        <v>1761</v>
      </c>
      <c r="E1133" s="139" t="s">
        <v>30</v>
      </c>
      <c r="F1133" s="161" t="s">
        <v>31</v>
      </c>
      <c r="G1133" s="139" t="s">
        <v>28</v>
      </c>
      <c r="H1133" s="162">
        <v>0.01</v>
      </c>
      <c r="I1133" s="162">
        <v>0.28960000000000002</v>
      </c>
      <c r="J1133" s="158">
        <v>106655</v>
      </c>
      <c r="K1133" s="158">
        <f t="shared" si="182"/>
        <v>30887.288000000004</v>
      </c>
      <c r="L1133" s="158"/>
      <c r="M1133" s="158">
        <f>+J1133*I1133</f>
        <v>30887.288000000004</v>
      </c>
      <c r="N1133" s="158"/>
      <c r="O1133" s="158"/>
      <c r="P1133" s="155"/>
    </row>
    <row r="1134" spans="1:17" s="1" customFormat="1" ht="25.5" x14ac:dyDescent="0.2">
      <c r="A1134" t="s">
        <v>1681</v>
      </c>
      <c r="B1134" t="s">
        <v>1401</v>
      </c>
      <c r="C1134" s="16" t="s">
        <v>1723</v>
      </c>
      <c r="D1134" s="130" t="s">
        <v>176</v>
      </c>
      <c r="E1134" s="131" t="s">
        <v>1762</v>
      </c>
      <c r="F1134" s="131" t="s">
        <v>1763</v>
      </c>
      <c r="G1134" s="132" t="s">
        <v>38</v>
      </c>
      <c r="H1134" s="159">
        <v>289.60000000000002</v>
      </c>
      <c r="I1134" s="159">
        <f>+H1134</f>
        <v>289.60000000000002</v>
      </c>
      <c r="J1134" s="166">
        <v>43299</v>
      </c>
      <c r="K1134" s="166">
        <f>+J1134*I1134</f>
        <v>12539390.4</v>
      </c>
      <c r="L1134" s="158"/>
      <c r="M1134" s="158"/>
      <c r="N1134" s="166">
        <f>+J1134*I1134</f>
        <v>12539390.4</v>
      </c>
      <c r="O1134" s="158"/>
      <c r="P1134" s="153"/>
    </row>
    <row r="1135" spans="1:17" ht="15.75" x14ac:dyDescent="0.25">
      <c r="A1135" t="s">
        <v>1681</v>
      </c>
      <c r="B1135" t="s">
        <v>1401</v>
      </c>
      <c r="D1135" s="151" t="s">
        <v>1764</v>
      </c>
      <c r="E1135" s="128"/>
      <c r="F1135" s="163"/>
      <c r="G1135" s="128"/>
      <c r="H1135" s="128"/>
      <c r="I1135" s="128"/>
      <c r="J1135" s="158"/>
      <c r="K1135" s="158"/>
      <c r="L1135" s="158"/>
      <c r="M1135" s="158"/>
      <c r="N1135" s="158"/>
      <c r="O1135" s="158"/>
      <c r="P1135" s="152"/>
    </row>
    <row r="1136" spans="1:17" s="1" customFormat="1" ht="25.5" x14ac:dyDescent="0.2">
      <c r="A1136" t="s">
        <v>1681</v>
      </c>
      <c r="B1136" t="s">
        <v>1401</v>
      </c>
      <c r="C1136" s="1" t="s">
        <v>1683</v>
      </c>
      <c r="D1136" s="130" t="s">
        <v>188</v>
      </c>
      <c r="E1136" s="131" t="s">
        <v>1765</v>
      </c>
      <c r="F1136" s="131" t="s">
        <v>1766</v>
      </c>
      <c r="G1136" s="132" t="s">
        <v>1692</v>
      </c>
      <c r="H1136" s="159">
        <v>3.6017999999999999</v>
      </c>
      <c r="I1136" s="159"/>
      <c r="J1136" s="158"/>
      <c r="K1136" s="158"/>
      <c r="L1136" s="158"/>
      <c r="M1136" s="158"/>
      <c r="N1136" s="158"/>
      <c r="O1136" s="158"/>
      <c r="P1136" s="153"/>
      <c r="Q1136" s="35"/>
    </row>
    <row r="1137" spans="1:16" s="14" customFormat="1" x14ac:dyDescent="0.2">
      <c r="A1137" t="s">
        <v>1681</v>
      </c>
      <c r="B1137" t="s">
        <v>1401</v>
      </c>
      <c r="C1137" s="14" t="s">
        <v>24</v>
      </c>
      <c r="D1137" s="134" t="s">
        <v>191</v>
      </c>
      <c r="E1137" s="135" t="s">
        <v>18</v>
      </c>
      <c r="F1137" s="160" t="s">
        <v>23</v>
      </c>
      <c r="G1137" s="135" t="s">
        <v>24</v>
      </c>
      <c r="H1137" s="158">
        <v>220.66</v>
      </c>
      <c r="I1137" s="158">
        <v>794.77319999999997</v>
      </c>
      <c r="J1137" s="158">
        <v>22914.53</v>
      </c>
      <c r="K1137" s="158">
        <f t="shared" ref="K1137:K1153" si="184">+J1137*I1137</f>
        <v>18211854.334595997</v>
      </c>
      <c r="L1137" s="158">
        <f t="shared" ref="L1137:L1138" si="185">+J1137*I1137</f>
        <v>18211854.334595997</v>
      </c>
      <c r="M1137" s="158"/>
      <c r="N1137" s="158"/>
      <c r="O1137" s="158"/>
      <c r="P1137" s="154"/>
    </row>
    <row r="1138" spans="1:16" s="16" customFormat="1" x14ac:dyDescent="0.2">
      <c r="A1138" t="s">
        <v>1681</v>
      </c>
      <c r="B1138" t="s">
        <v>1401</v>
      </c>
      <c r="C1138" s="14" t="s">
        <v>24</v>
      </c>
      <c r="D1138" s="134" t="s">
        <v>192</v>
      </c>
      <c r="E1138" s="135" t="s">
        <v>52</v>
      </c>
      <c r="F1138" s="160" t="s">
        <v>1687</v>
      </c>
      <c r="G1138" s="135" t="s">
        <v>24</v>
      </c>
      <c r="H1138" s="158">
        <v>1.47</v>
      </c>
      <c r="I1138" s="158">
        <v>5.2946</v>
      </c>
      <c r="J1138" s="158"/>
      <c r="K1138" s="158">
        <f t="shared" si="184"/>
        <v>0</v>
      </c>
      <c r="L1138" s="158">
        <f t="shared" si="185"/>
        <v>0</v>
      </c>
      <c r="M1138" s="158"/>
      <c r="N1138" s="158"/>
      <c r="O1138" s="158"/>
      <c r="P1138" s="156"/>
    </row>
    <row r="1139" spans="1:16" s="15" customFormat="1" x14ac:dyDescent="0.2">
      <c r="A1139" t="s">
        <v>1681</v>
      </c>
      <c r="B1139" t="s">
        <v>1401</v>
      </c>
      <c r="C1139" s="124" t="s">
        <v>28</v>
      </c>
      <c r="D1139" s="138" t="s">
        <v>194</v>
      </c>
      <c r="E1139" s="139" t="s">
        <v>1728</v>
      </c>
      <c r="F1139" s="161" t="s">
        <v>1729</v>
      </c>
      <c r="G1139" s="139" t="s">
        <v>28</v>
      </c>
      <c r="H1139" s="162">
        <v>10.71</v>
      </c>
      <c r="I1139" s="162">
        <v>38.575299999999999</v>
      </c>
      <c r="J1139" s="158">
        <v>1592</v>
      </c>
      <c r="K1139" s="158">
        <f t="shared" si="184"/>
        <v>61411.8776</v>
      </c>
      <c r="L1139" s="158"/>
      <c r="M1139" s="158">
        <f t="shared" ref="M1139:M1142" si="186">+J1139*I1139</f>
        <v>61411.8776</v>
      </c>
      <c r="N1139" s="158"/>
      <c r="O1139" s="158"/>
      <c r="P1139" s="155"/>
    </row>
    <row r="1140" spans="1:16" s="15" customFormat="1" x14ac:dyDescent="0.2">
      <c r="A1140" t="s">
        <v>1681</v>
      </c>
      <c r="B1140" t="s">
        <v>1401</v>
      </c>
      <c r="C1140" s="124" t="s">
        <v>28</v>
      </c>
      <c r="D1140" s="138" t="s">
        <v>197</v>
      </c>
      <c r="E1140" s="139" t="s">
        <v>1767</v>
      </c>
      <c r="F1140" s="161" t="s">
        <v>1768</v>
      </c>
      <c r="G1140" s="139" t="s">
        <v>28</v>
      </c>
      <c r="H1140" s="162">
        <v>0.1</v>
      </c>
      <c r="I1140" s="162">
        <v>0.36018</v>
      </c>
      <c r="J1140" s="158">
        <v>1349</v>
      </c>
      <c r="K1140" s="158">
        <f t="shared" si="184"/>
        <v>485.88281999999998</v>
      </c>
      <c r="L1140" s="158"/>
      <c r="M1140" s="158">
        <f t="shared" si="186"/>
        <v>485.88281999999998</v>
      </c>
      <c r="N1140" s="158"/>
      <c r="O1140" s="158"/>
      <c r="P1140" s="155"/>
    </row>
    <row r="1141" spans="1:16" s="15" customFormat="1" x14ac:dyDescent="0.2">
      <c r="A1141" t="s">
        <v>1681</v>
      </c>
      <c r="B1141" t="s">
        <v>1401</v>
      </c>
      <c r="C1141" s="124" t="s">
        <v>28</v>
      </c>
      <c r="D1141" s="138" t="s">
        <v>200</v>
      </c>
      <c r="E1141" s="139" t="s">
        <v>98</v>
      </c>
      <c r="F1141" s="161" t="s">
        <v>99</v>
      </c>
      <c r="G1141" s="139" t="s">
        <v>28</v>
      </c>
      <c r="H1141" s="162">
        <v>4.3</v>
      </c>
      <c r="I1141" s="162">
        <v>15.4877</v>
      </c>
      <c r="J1141" s="158">
        <v>6858</v>
      </c>
      <c r="K1141" s="158">
        <f t="shared" si="184"/>
        <v>106214.64660000001</v>
      </c>
      <c r="L1141" s="158"/>
      <c r="M1141" s="158">
        <f t="shared" si="186"/>
        <v>106214.64660000001</v>
      </c>
      <c r="N1141" s="158"/>
      <c r="O1141" s="158"/>
      <c r="P1141" s="155"/>
    </row>
    <row r="1142" spans="1:16" s="15" customFormat="1" x14ac:dyDescent="0.2">
      <c r="A1142" t="s">
        <v>1681</v>
      </c>
      <c r="B1142" t="s">
        <v>1401</v>
      </c>
      <c r="C1142" s="124" t="s">
        <v>28</v>
      </c>
      <c r="D1142" s="138" t="s">
        <v>203</v>
      </c>
      <c r="E1142" s="139" t="s">
        <v>30</v>
      </c>
      <c r="F1142" s="161" t="s">
        <v>31</v>
      </c>
      <c r="G1142" s="139" t="s">
        <v>28</v>
      </c>
      <c r="H1142" s="162">
        <v>1.47</v>
      </c>
      <c r="I1142" s="162">
        <v>5.2946</v>
      </c>
      <c r="J1142" s="158">
        <v>106655</v>
      </c>
      <c r="K1142" s="158">
        <f t="shared" si="184"/>
        <v>564695.56299999997</v>
      </c>
      <c r="L1142" s="158"/>
      <c r="M1142" s="158">
        <f t="shared" si="186"/>
        <v>564695.56299999997</v>
      </c>
      <c r="N1142" s="158"/>
      <c r="O1142" s="158"/>
      <c r="P1142" s="155"/>
    </row>
    <row r="1143" spans="1:16" s="16" customFormat="1" x14ac:dyDescent="0.2">
      <c r="A1143" t="s">
        <v>1681</v>
      </c>
      <c r="B1143" t="s">
        <v>1401</v>
      </c>
      <c r="C1143" s="16" t="s">
        <v>1723</v>
      </c>
      <c r="D1143" s="142" t="s">
        <v>1769</v>
      </c>
      <c r="E1143" s="143" t="s">
        <v>1770</v>
      </c>
      <c r="F1143" s="164" t="s">
        <v>1771</v>
      </c>
      <c r="G1143" s="143" t="s">
        <v>420</v>
      </c>
      <c r="H1143" s="165">
        <v>101.5</v>
      </c>
      <c r="I1143" s="165">
        <v>365.58269999999999</v>
      </c>
      <c r="J1143" s="158">
        <v>504464</v>
      </c>
      <c r="K1143" s="158">
        <f t="shared" si="184"/>
        <v>184423311.1728</v>
      </c>
      <c r="L1143" s="158"/>
      <c r="M1143" s="158"/>
      <c r="N1143" s="158">
        <f t="shared" ref="N1143:N1153" si="187">+J1143*I1143</f>
        <v>184423311.1728</v>
      </c>
      <c r="O1143" s="158"/>
      <c r="P1143" s="156"/>
    </row>
    <row r="1144" spans="1:16" s="16" customFormat="1" x14ac:dyDescent="0.2">
      <c r="A1144" t="s">
        <v>1681</v>
      </c>
      <c r="B1144" t="s">
        <v>1401</v>
      </c>
      <c r="C1144" s="16" t="s">
        <v>1723</v>
      </c>
      <c r="D1144" s="142" t="s">
        <v>1772</v>
      </c>
      <c r="E1144" s="143" t="s">
        <v>124</v>
      </c>
      <c r="F1144" s="164" t="s">
        <v>125</v>
      </c>
      <c r="G1144" s="143" t="s">
        <v>107</v>
      </c>
      <c r="H1144" s="165">
        <v>2E-3</v>
      </c>
      <c r="I1144" s="165">
        <v>7.2040000000000003E-3</v>
      </c>
      <c r="J1144" s="158">
        <v>9500000</v>
      </c>
      <c r="K1144" s="158">
        <f t="shared" si="184"/>
        <v>68438</v>
      </c>
      <c r="L1144" s="158"/>
      <c r="M1144" s="158"/>
      <c r="N1144" s="158">
        <f t="shared" si="187"/>
        <v>68438</v>
      </c>
      <c r="O1144" s="158"/>
      <c r="P1144" s="156"/>
    </row>
    <row r="1145" spans="1:16" s="16" customFormat="1" x14ac:dyDescent="0.2">
      <c r="A1145" t="s">
        <v>1681</v>
      </c>
      <c r="B1145" t="s">
        <v>1401</v>
      </c>
      <c r="C1145" s="16" t="s">
        <v>1723</v>
      </c>
      <c r="D1145" s="142" t="s">
        <v>1773</v>
      </c>
      <c r="E1145" s="143" t="s">
        <v>1185</v>
      </c>
      <c r="F1145" s="164" t="s">
        <v>1186</v>
      </c>
      <c r="G1145" s="143" t="s">
        <v>107</v>
      </c>
      <c r="H1145" s="165">
        <v>1.0200000000000001E-2</v>
      </c>
      <c r="I1145" s="165">
        <v>3.6738E-2</v>
      </c>
      <c r="J1145" s="158">
        <v>7812501</v>
      </c>
      <c r="K1145" s="158">
        <f t="shared" si="184"/>
        <v>287015.661738</v>
      </c>
      <c r="L1145" s="158"/>
      <c r="M1145" s="158"/>
      <c r="N1145" s="158">
        <f t="shared" si="187"/>
        <v>287015.661738</v>
      </c>
      <c r="O1145" s="158"/>
      <c r="P1145" s="156"/>
    </row>
    <row r="1146" spans="1:16" s="16" customFormat="1" x14ac:dyDescent="0.2">
      <c r="A1146" t="s">
        <v>1681</v>
      </c>
      <c r="B1146" t="s">
        <v>1401</v>
      </c>
      <c r="C1146" s="16" t="s">
        <v>1723</v>
      </c>
      <c r="D1146" s="142" t="s">
        <v>1774</v>
      </c>
      <c r="E1146" s="143" t="s">
        <v>693</v>
      </c>
      <c r="F1146" s="164" t="s">
        <v>694</v>
      </c>
      <c r="G1146" s="143" t="s">
        <v>107</v>
      </c>
      <c r="H1146" s="165">
        <v>5.0000000000000001E-3</v>
      </c>
      <c r="I1146" s="165">
        <v>1.8009000000000001E-2</v>
      </c>
      <c r="J1146" s="158">
        <v>11250000</v>
      </c>
      <c r="K1146" s="158">
        <f t="shared" si="184"/>
        <v>202601.25</v>
      </c>
      <c r="L1146" s="158"/>
      <c r="M1146" s="158"/>
      <c r="N1146" s="158">
        <f t="shared" si="187"/>
        <v>202601.25</v>
      </c>
      <c r="O1146" s="158"/>
      <c r="P1146" s="156"/>
    </row>
    <row r="1147" spans="1:16" s="16" customFormat="1" ht="24" x14ac:dyDescent="0.2">
      <c r="A1147" t="s">
        <v>1681</v>
      </c>
      <c r="B1147" t="s">
        <v>1401</v>
      </c>
      <c r="C1147" s="16" t="s">
        <v>1723</v>
      </c>
      <c r="D1147" s="142" t="s">
        <v>1775</v>
      </c>
      <c r="E1147" s="143" t="s">
        <v>1776</v>
      </c>
      <c r="F1147" s="164" t="s">
        <v>1777</v>
      </c>
      <c r="G1147" s="143" t="s">
        <v>420</v>
      </c>
      <c r="H1147" s="165">
        <v>0.04</v>
      </c>
      <c r="I1147" s="165">
        <v>0.14407200000000001</v>
      </c>
      <c r="J1147" s="158">
        <v>4107143</v>
      </c>
      <c r="K1147" s="158">
        <f t="shared" si="184"/>
        <v>591724.30629600002</v>
      </c>
      <c r="L1147" s="158"/>
      <c r="M1147" s="158"/>
      <c r="N1147" s="158">
        <f t="shared" si="187"/>
        <v>591724.30629600002</v>
      </c>
      <c r="O1147" s="158"/>
      <c r="P1147" s="156"/>
    </row>
    <row r="1148" spans="1:16" s="16" customFormat="1" x14ac:dyDescent="0.2">
      <c r="A1148" t="s">
        <v>1681</v>
      </c>
      <c r="B1148" t="s">
        <v>1401</v>
      </c>
      <c r="C1148" s="16" t="s">
        <v>1723</v>
      </c>
      <c r="D1148" s="142" t="s">
        <v>1778</v>
      </c>
      <c r="E1148" s="143" t="s">
        <v>1779</v>
      </c>
      <c r="F1148" s="164" t="s">
        <v>1780</v>
      </c>
      <c r="G1148" s="143" t="s">
        <v>38</v>
      </c>
      <c r="H1148" s="165">
        <v>3.6</v>
      </c>
      <c r="I1148" s="165">
        <v>12.9665</v>
      </c>
      <c r="J1148" s="158">
        <v>164285.72</v>
      </c>
      <c r="K1148" s="158">
        <f t="shared" si="184"/>
        <v>2130210.7883799998</v>
      </c>
      <c r="L1148" s="158"/>
      <c r="M1148" s="158"/>
      <c r="N1148" s="158">
        <f t="shared" si="187"/>
        <v>2130210.7883799998</v>
      </c>
      <c r="O1148" s="158"/>
      <c r="P1148" s="156"/>
    </row>
    <row r="1149" spans="1:16" s="1" customFormat="1" x14ac:dyDescent="0.2">
      <c r="A1149" t="s">
        <v>1681</v>
      </c>
      <c r="B1149" t="s">
        <v>1401</v>
      </c>
      <c r="C1149" s="16" t="s">
        <v>1723</v>
      </c>
      <c r="D1149" s="130" t="s">
        <v>208</v>
      </c>
      <c r="E1149" s="131" t="s">
        <v>1781</v>
      </c>
      <c r="F1149" s="131" t="s">
        <v>1782</v>
      </c>
      <c r="G1149" s="132" t="s">
        <v>107</v>
      </c>
      <c r="H1149" s="159">
        <v>6.3971</v>
      </c>
      <c r="I1149" s="159">
        <f t="shared" ref="I1149:I1153" si="188">+H1149</f>
        <v>6.3971</v>
      </c>
      <c r="J1149" s="166">
        <v>8482143</v>
      </c>
      <c r="K1149" s="166">
        <f t="shared" si="184"/>
        <v>54261116.985299997</v>
      </c>
      <c r="L1149" s="158"/>
      <c r="M1149" s="158"/>
      <c r="N1149" s="166">
        <f t="shared" si="187"/>
        <v>54261116.985299997</v>
      </c>
      <c r="O1149" s="158"/>
      <c r="P1149" s="153"/>
    </row>
    <row r="1150" spans="1:16" s="1" customFormat="1" x14ac:dyDescent="0.2">
      <c r="A1150" t="s">
        <v>1681</v>
      </c>
      <c r="B1150" t="s">
        <v>1401</v>
      </c>
      <c r="C1150" s="16" t="s">
        <v>1723</v>
      </c>
      <c r="D1150" s="130" t="s">
        <v>221</v>
      </c>
      <c r="E1150" s="131" t="s">
        <v>1781</v>
      </c>
      <c r="F1150" s="131" t="s">
        <v>1783</v>
      </c>
      <c r="G1150" s="132" t="s">
        <v>107</v>
      </c>
      <c r="H1150" s="159">
        <v>4.9138000000000002</v>
      </c>
      <c r="I1150" s="159">
        <f t="shared" si="188"/>
        <v>4.9138000000000002</v>
      </c>
      <c r="J1150" s="166">
        <v>8322279</v>
      </c>
      <c r="K1150" s="166">
        <f t="shared" si="184"/>
        <v>40894014.5502</v>
      </c>
      <c r="L1150" s="158"/>
      <c r="M1150" s="158"/>
      <c r="N1150" s="166">
        <f t="shared" si="187"/>
        <v>40894014.5502</v>
      </c>
      <c r="O1150" s="158"/>
      <c r="P1150" s="153"/>
    </row>
    <row r="1151" spans="1:16" s="1" customFormat="1" x14ac:dyDescent="0.2">
      <c r="A1151" t="s">
        <v>1681</v>
      </c>
      <c r="B1151" t="s">
        <v>1401</v>
      </c>
      <c r="C1151" s="16" t="s">
        <v>1723</v>
      </c>
      <c r="D1151" s="130" t="s">
        <v>227</v>
      </c>
      <c r="E1151" s="131" t="s">
        <v>1781</v>
      </c>
      <c r="F1151" s="131" t="s">
        <v>1784</v>
      </c>
      <c r="G1151" s="132" t="s">
        <v>107</v>
      </c>
      <c r="H1151" s="159">
        <v>6.3798000000000004</v>
      </c>
      <c r="I1151" s="159">
        <f t="shared" si="188"/>
        <v>6.3798000000000004</v>
      </c>
      <c r="J1151" s="166">
        <v>8482143</v>
      </c>
      <c r="K1151" s="166">
        <f t="shared" si="184"/>
        <v>54114375.911400005</v>
      </c>
      <c r="L1151" s="158"/>
      <c r="M1151" s="158"/>
      <c r="N1151" s="166">
        <f t="shared" si="187"/>
        <v>54114375.911400005</v>
      </c>
      <c r="O1151" s="158"/>
      <c r="P1151" s="153"/>
    </row>
    <row r="1152" spans="1:16" s="1" customFormat="1" x14ac:dyDescent="0.2">
      <c r="A1152" t="s">
        <v>1681</v>
      </c>
      <c r="B1152" t="s">
        <v>1401</v>
      </c>
      <c r="C1152" s="16" t="s">
        <v>1723</v>
      </c>
      <c r="D1152" s="130" t="s">
        <v>237</v>
      </c>
      <c r="E1152" s="131" t="s">
        <v>1781</v>
      </c>
      <c r="F1152" s="131" t="s">
        <v>1785</v>
      </c>
      <c r="G1152" s="132" t="s">
        <v>107</v>
      </c>
      <c r="H1152" s="159">
        <v>1.3238000000000001</v>
      </c>
      <c r="I1152" s="159">
        <f t="shared" si="188"/>
        <v>1.3238000000000001</v>
      </c>
      <c r="J1152" s="166">
        <v>8013175</v>
      </c>
      <c r="K1152" s="166">
        <f t="shared" si="184"/>
        <v>10607841.065000001</v>
      </c>
      <c r="L1152" s="158"/>
      <c r="M1152" s="158"/>
      <c r="N1152" s="166">
        <f t="shared" si="187"/>
        <v>10607841.065000001</v>
      </c>
      <c r="O1152" s="158"/>
      <c r="P1152" s="153"/>
    </row>
    <row r="1153" spans="1:17" s="1" customFormat="1" x14ac:dyDescent="0.2">
      <c r="A1153" t="s">
        <v>1681</v>
      </c>
      <c r="B1153" t="s">
        <v>1401</v>
      </c>
      <c r="C1153" s="16" t="s">
        <v>1723</v>
      </c>
      <c r="D1153" s="130" t="s">
        <v>257</v>
      </c>
      <c r="E1153" s="131" t="s">
        <v>1781</v>
      </c>
      <c r="F1153" s="131" t="s">
        <v>1786</v>
      </c>
      <c r="G1153" s="132" t="s">
        <v>107</v>
      </c>
      <c r="H1153" s="159">
        <v>0.1095</v>
      </c>
      <c r="I1153" s="159">
        <f t="shared" si="188"/>
        <v>0.1095</v>
      </c>
      <c r="J1153" s="166">
        <v>8019225</v>
      </c>
      <c r="K1153" s="166">
        <f t="shared" si="184"/>
        <v>878105.13749999995</v>
      </c>
      <c r="L1153" s="158"/>
      <c r="M1153" s="158"/>
      <c r="N1153" s="166">
        <f t="shared" si="187"/>
        <v>878105.13749999995</v>
      </c>
      <c r="O1153" s="158"/>
      <c r="P1153" s="153"/>
    </row>
    <row r="1154" spans="1:17" ht="15.75" x14ac:dyDescent="0.25">
      <c r="A1154" t="s">
        <v>1681</v>
      </c>
      <c r="B1154" t="s">
        <v>1401</v>
      </c>
      <c r="D1154" s="151" t="s">
        <v>1787</v>
      </c>
      <c r="E1154" s="128"/>
      <c r="F1154" s="163"/>
      <c r="G1154" s="128"/>
      <c r="H1154" s="128"/>
      <c r="I1154" s="128"/>
      <c r="J1154" s="158"/>
      <c r="K1154" s="158"/>
      <c r="L1154" s="158"/>
      <c r="M1154" s="158"/>
      <c r="N1154" s="158"/>
      <c r="O1154" s="158"/>
      <c r="P1154" s="152"/>
    </row>
    <row r="1155" spans="1:17" s="1" customFormat="1" x14ac:dyDescent="0.2">
      <c r="A1155" t="s">
        <v>1681</v>
      </c>
      <c r="B1155" t="s">
        <v>1401</v>
      </c>
      <c r="C1155" s="16" t="s">
        <v>1723</v>
      </c>
      <c r="D1155" s="130" t="s">
        <v>273</v>
      </c>
      <c r="E1155" s="131" t="s">
        <v>1781</v>
      </c>
      <c r="F1155" s="131" t="s">
        <v>1782</v>
      </c>
      <c r="G1155" s="132" t="s">
        <v>107</v>
      </c>
      <c r="H1155" s="159">
        <v>1.4303999999999999</v>
      </c>
      <c r="I1155" s="159">
        <f>+H1155</f>
        <v>1.4303999999999999</v>
      </c>
      <c r="J1155" s="166">
        <v>8482143</v>
      </c>
      <c r="K1155" s="166">
        <f>+J1155*I1155</f>
        <v>12132857.347199999</v>
      </c>
      <c r="L1155" s="158"/>
      <c r="M1155" s="158"/>
      <c r="N1155" s="166">
        <f>+J1155*I1155</f>
        <v>12132857.347199999</v>
      </c>
      <c r="O1155" s="158"/>
      <c r="P1155" s="153"/>
    </row>
    <row r="1156" spans="1:17" ht="15.75" x14ac:dyDescent="0.25">
      <c r="A1156" t="s">
        <v>1681</v>
      </c>
      <c r="B1156" t="s">
        <v>1401</v>
      </c>
      <c r="D1156" s="151" t="s">
        <v>1788</v>
      </c>
      <c r="E1156" s="128"/>
      <c r="F1156" s="163"/>
      <c r="G1156" s="128"/>
      <c r="H1156" s="128"/>
      <c r="I1156" s="128"/>
      <c r="J1156" s="158"/>
      <c r="K1156" s="158"/>
      <c r="L1156" s="158"/>
      <c r="M1156" s="158"/>
      <c r="N1156" s="158"/>
      <c r="O1156" s="158"/>
      <c r="P1156" s="152"/>
    </row>
    <row r="1157" spans="1:17" s="1" customFormat="1" ht="25.5" x14ac:dyDescent="0.2">
      <c r="A1157" t="s">
        <v>1681</v>
      </c>
      <c r="B1157" t="s">
        <v>1401</v>
      </c>
      <c r="C1157" s="1" t="s">
        <v>1683</v>
      </c>
      <c r="D1157" s="130" t="s">
        <v>283</v>
      </c>
      <c r="E1157" s="131" t="s">
        <v>1789</v>
      </c>
      <c r="F1157" s="131" t="s">
        <v>1790</v>
      </c>
      <c r="G1157" s="132" t="s">
        <v>1692</v>
      </c>
      <c r="H1157" s="159">
        <v>0.26979999999999998</v>
      </c>
      <c r="I1157" s="159"/>
      <c r="J1157" s="158"/>
      <c r="K1157" s="158"/>
      <c r="L1157" s="158"/>
      <c r="M1157" s="158"/>
      <c r="N1157" s="158"/>
      <c r="O1157" s="158"/>
      <c r="P1157" s="153"/>
      <c r="Q1157" s="35"/>
    </row>
    <row r="1158" spans="1:17" s="14" customFormat="1" x14ac:dyDescent="0.2">
      <c r="A1158" t="s">
        <v>1681</v>
      </c>
      <c r="B1158" t="s">
        <v>1401</v>
      </c>
      <c r="C1158" s="14" t="s">
        <v>24</v>
      </c>
      <c r="D1158" s="134" t="s">
        <v>284</v>
      </c>
      <c r="E1158" s="135" t="s">
        <v>18</v>
      </c>
      <c r="F1158" s="160" t="s">
        <v>23</v>
      </c>
      <c r="G1158" s="135" t="s">
        <v>24</v>
      </c>
      <c r="H1158" s="158">
        <v>1666</v>
      </c>
      <c r="I1158" s="158">
        <v>449.48680000000002</v>
      </c>
      <c r="J1158" s="158">
        <v>22914.53</v>
      </c>
      <c r="K1158" s="158">
        <f t="shared" ref="K1158:K1177" si="189">+J1158*I1158</f>
        <v>10299778.763203999</v>
      </c>
      <c r="L1158" s="158">
        <f t="shared" ref="L1158:L1159" si="190">+J1158*I1158</f>
        <v>10299778.763203999</v>
      </c>
      <c r="M1158" s="158"/>
      <c r="N1158" s="158"/>
      <c r="O1158" s="158"/>
      <c r="P1158" s="154"/>
    </row>
    <row r="1159" spans="1:17" s="16" customFormat="1" x14ac:dyDescent="0.2">
      <c r="A1159" t="s">
        <v>1681</v>
      </c>
      <c r="B1159" t="s">
        <v>1401</v>
      </c>
      <c r="C1159" s="14" t="s">
        <v>24</v>
      </c>
      <c r="D1159" s="134" t="s">
        <v>285</v>
      </c>
      <c r="E1159" s="135" t="s">
        <v>52</v>
      </c>
      <c r="F1159" s="160" t="s">
        <v>1687</v>
      </c>
      <c r="G1159" s="135" t="s">
        <v>24</v>
      </c>
      <c r="H1159" s="158">
        <v>104.86</v>
      </c>
      <c r="I1159" s="158">
        <v>28.2912</v>
      </c>
      <c r="J1159" s="158"/>
      <c r="K1159" s="158">
        <f t="shared" si="189"/>
        <v>0</v>
      </c>
      <c r="L1159" s="158">
        <f t="shared" si="190"/>
        <v>0</v>
      </c>
      <c r="M1159" s="158"/>
      <c r="N1159" s="158"/>
      <c r="O1159" s="158"/>
      <c r="P1159" s="156"/>
    </row>
    <row r="1160" spans="1:17" s="15" customFormat="1" x14ac:dyDescent="0.2">
      <c r="A1160" t="s">
        <v>1681</v>
      </c>
      <c r="B1160" t="s">
        <v>1401</v>
      </c>
      <c r="C1160" s="124" t="s">
        <v>28</v>
      </c>
      <c r="D1160" s="138" t="s">
        <v>286</v>
      </c>
      <c r="E1160" s="139" t="s">
        <v>262</v>
      </c>
      <c r="F1160" s="161" t="s">
        <v>263</v>
      </c>
      <c r="G1160" s="139" t="s">
        <v>28</v>
      </c>
      <c r="H1160" s="162">
        <v>0.27</v>
      </c>
      <c r="I1160" s="162">
        <v>7.2845999999999994E-2</v>
      </c>
      <c r="J1160" s="158">
        <v>140201</v>
      </c>
      <c r="K1160" s="158">
        <f t="shared" si="189"/>
        <v>10213.082046</v>
      </c>
      <c r="L1160" s="158"/>
      <c r="M1160" s="158">
        <f t="shared" ref="M1160:M1166" si="191">+J1160*I1160</f>
        <v>10213.082046</v>
      </c>
      <c r="N1160" s="158"/>
      <c r="O1160" s="158"/>
      <c r="P1160" s="155"/>
    </row>
    <row r="1161" spans="1:17" s="15" customFormat="1" x14ac:dyDescent="0.2">
      <c r="A1161" t="s">
        <v>1681</v>
      </c>
      <c r="B1161" t="s">
        <v>1401</v>
      </c>
      <c r="C1161" s="124" t="s">
        <v>28</v>
      </c>
      <c r="D1161" s="138" t="s">
        <v>287</v>
      </c>
      <c r="E1161" s="139" t="s">
        <v>1728</v>
      </c>
      <c r="F1161" s="161" t="s">
        <v>1729</v>
      </c>
      <c r="G1161" s="139" t="s">
        <v>28</v>
      </c>
      <c r="H1161" s="162">
        <v>83.3</v>
      </c>
      <c r="I1161" s="162">
        <v>22.474299999999999</v>
      </c>
      <c r="J1161" s="158">
        <v>1592</v>
      </c>
      <c r="K1161" s="158">
        <f t="shared" si="189"/>
        <v>35779.085599999999</v>
      </c>
      <c r="L1161" s="158"/>
      <c r="M1161" s="158">
        <f t="shared" si="191"/>
        <v>35779.085599999999</v>
      </c>
      <c r="N1161" s="158"/>
      <c r="O1161" s="158"/>
      <c r="P1161" s="155"/>
    </row>
    <row r="1162" spans="1:17" s="15" customFormat="1" x14ac:dyDescent="0.2">
      <c r="A1162" t="s">
        <v>1681</v>
      </c>
      <c r="B1162" t="s">
        <v>1401</v>
      </c>
      <c r="C1162" s="124" t="s">
        <v>28</v>
      </c>
      <c r="D1162" s="138" t="s">
        <v>1791</v>
      </c>
      <c r="E1162" s="139" t="s">
        <v>1079</v>
      </c>
      <c r="F1162" s="161" t="s">
        <v>1080</v>
      </c>
      <c r="G1162" s="139" t="s">
        <v>28</v>
      </c>
      <c r="H1162" s="162">
        <v>101.27</v>
      </c>
      <c r="I1162" s="162">
        <v>27.322600000000001</v>
      </c>
      <c r="J1162" s="158">
        <v>132706</v>
      </c>
      <c r="K1162" s="158">
        <f t="shared" si="189"/>
        <v>3625872.9556</v>
      </c>
      <c r="L1162" s="158"/>
      <c r="M1162" s="158">
        <f t="shared" si="191"/>
        <v>3625872.9556</v>
      </c>
      <c r="N1162" s="158"/>
      <c r="O1162" s="158"/>
      <c r="P1162" s="155"/>
    </row>
    <row r="1163" spans="1:17" s="15" customFormat="1" ht="24" x14ac:dyDescent="0.2">
      <c r="A1163" t="s">
        <v>1681</v>
      </c>
      <c r="B1163" t="s">
        <v>1401</v>
      </c>
      <c r="C1163" s="124" t="s">
        <v>28</v>
      </c>
      <c r="D1163" s="138" t="s">
        <v>1792</v>
      </c>
      <c r="E1163" s="139" t="s">
        <v>876</v>
      </c>
      <c r="F1163" s="161" t="s">
        <v>877</v>
      </c>
      <c r="G1163" s="139" t="s">
        <v>28</v>
      </c>
      <c r="H1163" s="162">
        <v>1.33</v>
      </c>
      <c r="I1163" s="162">
        <v>0.35883399999999999</v>
      </c>
      <c r="J1163" s="158">
        <v>239461</v>
      </c>
      <c r="K1163" s="158">
        <f t="shared" si="189"/>
        <v>85926.748473999993</v>
      </c>
      <c r="L1163" s="158"/>
      <c r="M1163" s="158">
        <f t="shared" si="191"/>
        <v>85926.748473999993</v>
      </c>
      <c r="N1163" s="158"/>
      <c r="O1163" s="158"/>
      <c r="P1163" s="155"/>
    </row>
    <row r="1164" spans="1:17" s="15" customFormat="1" x14ac:dyDescent="0.2">
      <c r="A1164" t="s">
        <v>1681</v>
      </c>
      <c r="B1164" t="s">
        <v>1401</v>
      </c>
      <c r="C1164" s="124" t="s">
        <v>28</v>
      </c>
      <c r="D1164" s="138" t="s">
        <v>1793</v>
      </c>
      <c r="E1164" s="139" t="s">
        <v>1767</v>
      </c>
      <c r="F1164" s="161" t="s">
        <v>1768</v>
      </c>
      <c r="G1164" s="139" t="s">
        <v>28</v>
      </c>
      <c r="H1164" s="162">
        <v>2.6</v>
      </c>
      <c r="I1164" s="162">
        <v>0.70147999999999999</v>
      </c>
      <c r="J1164" s="158">
        <v>1349</v>
      </c>
      <c r="K1164" s="158">
        <f t="shared" si="189"/>
        <v>946.29651999999999</v>
      </c>
      <c r="L1164" s="158"/>
      <c r="M1164" s="158">
        <f t="shared" si="191"/>
        <v>946.29651999999999</v>
      </c>
      <c r="N1164" s="158"/>
      <c r="O1164" s="158"/>
      <c r="P1164" s="155"/>
    </row>
    <row r="1165" spans="1:17" s="15" customFormat="1" x14ac:dyDescent="0.2">
      <c r="A1165" t="s">
        <v>1681</v>
      </c>
      <c r="B1165" t="s">
        <v>1401</v>
      </c>
      <c r="C1165" s="124" t="s">
        <v>28</v>
      </c>
      <c r="D1165" s="138" t="s">
        <v>1794</v>
      </c>
      <c r="E1165" s="139" t="s">
        <v>98</v>
      </c>
      <c r="F1165" s="161" t="s">
        <v>99</v>
      </c>
      <c r="G1165" s="139" t="s">
        <v>28</v>
      </c>
      <c r="H1165" s="162">
        <v>341.53</v>
      </c>
      <c r="I1165" s="162">
        <v>92.144800000000004</v>
      </c>
      <c r="J1165" s="158">
        <v>6858</v>
      </c>
      <c r="K1165" s="158">
        <f t="shared" si="189"/>
        <v>631929.03840000008</v>
      </c>
      <c r="L1165" s="158"/>
      <c r="M1165" s="158">
        <f t="shared" si="191"/>
        <v>631929.03840000008</v>
      </c>
      <c r="N1165" s="158"/>
      <c r="O1165" s="158"/>
      <c r="P1165" s="155"/>
    </row>
    <row r="1166" spans="1:17" s="15" customFormat="1" x14ac:dyDescent="0.2">
      <c r="A1166" t="s">
        <v>1681</v>
      </c>
      <c r="B1166" t="s">
        <v>1401</v>
      </c>
      <c r="C1166" s="124" t="s">
        <v>28</v>
      </c>
      <c r="D1166" s="138" t="s">
        <v>1795</v>
      </c>
      <c r="E1166" s="139" t="s">
        <v>30</v>
      </c>
      <c r="F1166" s="161" t="s">
        <v>31</v>
      </c>
      <c r="G1166" s="139" t="s">
        <v>28</v>
      </c>
      <c r="H1166" s="162">
        <v>1.99</v>
      </c>
      <c r="I1166" s="162">
        <v>0.53690199999999999</v>
      </c>
      <c r="J1166" s="158">
        <v>106655</v>
      </c>
      <c r="K1166" s="158">
        <f t="shared" si="189"/>
        <v>57263.282809999997</v>
      </c>
      <c r="L1166" s="158"/>
      <c r="M1166" s="158">
        <f t="shared" si="191"/>
        <v>57263.282809999997</v>
      </c>
      <c r="N1166" s="158"/>
      <c r="O1166" s="158"/>
      <c r="P1166" s="155"/>
    </row>
    <row r="1167" spans="1:17" s="16" customFormat="1" x14ac:dyDescent="0.2">
      <c r="A1167" t="s">
        <v>1681</v>
      </c>
      <c r="B1167" t="s">
        <v>1401</v>
      </c>
      <c r="C1167" s="16" t="s">
        <v>1723</v>
      </c>
      <c r="D1167" s="142" t="s">
        <v>1796</v>
      </c>
      <c r="E1167" s="143" t="s">
        <v>1797</v>
      </c>
      <c r="F1167" s="164" t="s">
        <v>1798</v>
      </c>
      <c r="G1167" s="143" t="s">
        <v>420</v>
      </c>
      <c r="H1167" s="165">
        <v>101.5</v>
      </c>
      <c r="I1167" s="165">
        <v>27.384699999999999</v>
      </c>
      <c r="J1167" s="158">
        <v>544643</v>
      </c>
      <c r="K1167" s="158">
        <f t="shared" si="189"/>
        <v>14914885.162099998</v>
      </c>
      <c r="L1167" s="158"/>
      <c r="M1167" s="158"/>
      <c r="N1167" s="158">
        <f t="shared" ref="N1167:N1177" si="192">+J1167*I1167</f>
        <v>14914885.162099998</v>
      </c>
      <c r="O1167" s="158"/>
      <c r="P1167" s="156"/>
    </row>
    <row r="1168" spans="1:17" s="16" customFormat="1" x14ac:dyDescent="0.2">
      <c r="A1168" t="s">
        <v>1681</v>
      </c>
      <c r="B1168" t="s">
        <v>1401</v>
      </c>
      <c r="C1168" s="16" t="s">
        <v>1723</v>
      </c>
      <c r="D1168" s="142" t="s">
        <v>1799</v>
      </c>
      <c r="E1168" s="143" t="s">
        <v>1177</v>
      </c>
      <c r="F1168" s="164" t="s">
        <v>1800</v>
      </c>
      <c r="G1168" s="143" t="s">
        <v>107</v>
      </c>
      <c r="H1168" s="165">
        <v>0.18</v>
      </c>
      <c r="I1168" s="165">
        <v>4.8564000000000003E-2</v>
      </c>
      <c r="J1168" s="158">
        <v>15402000</v>
      </c>
      <c r="K1168" s="158">
        <f t="shared" si="189"/>
        <v>747982.728</v>
      </c>
      <c r="L1168" s="158"/>
      <c r="M1168" s="158"/>
      <c r="N1168" s="158">
        <f t="shared" si="192"/>
        <v>747982.728</v>
      </c>
      <c r="O1168" s="158"/>
      <c r="P1168" s="156"/>
    </row>
    <row r="1169" spans="1:17" s="16" customFormat="1" x14ac:dyDescent="0.2">
      <c r="A1169" t="s">
        <v>1681</v>
      </c>
      <c r="B1169" t="s">
        <v>1401</v>
      </c>
      <c r="C1169" s="16" t="s">
        <v>1723</v>
      </c>
      <c r="D1169" s="142" t="s">
        <v>1801</v>
      </c>
      <c r="E1169" s="143" t="s">
        <v>124</v>
      </c>
      <c r="F1169" s="164" t="s">
        <v>125</v>
      </c>
      <c r="G1169" s="143" t="s">
        <v>107</v>
      </c>
      <c r="H1169" s="165">
        <v>0.128</v>
      </c>
      <c r="I1169" s="165">
        <v>3.4534000000000002E-2</v>
      </c>
      <c r="J1169" s="158">
        <v>9500000</v>
      </c>
      <c r="K1169" s="158">
        <f t="shared" si="189"/>
        <v>328073</v>
      </c>
      <c r="L1169" s="158"/>
      <c r="M1169" s="158"/>
      <c r="N1169" s="158">
        <f t="shared" si="192"/>
        <v>328073</v>
      </c>
      <c r="O1169" s="158"/>
      <c r="P1169" s="156"/>
    </row>
    <row r="1170" spans="1:17" s="16" customFormat="1" x14ac:dyDescent="0.2">
      <c r="A1170" t="s">
        <v>1681</v>
      </c>
      <c r="B1170" t="s">
        <v>1401</v>
      </c>
      <c r="C1170" s="16" t="s">
        <v>1723</v>
      </c>
      <c r="D1170" s="142" t="s">
        <v>1802</v>
      </c>
      <c r="E1170" s="143" t="s">
        <v>693</v>
      </c>
      <c r="F1170" s="164" t="s">
        <v>694</v>
      </c>
      <c r="G1170" s="143" t="s">
        <v>107</v>
      </c>
      <c r="H1170" s="165">
        <v>0.41</v>
      </c>
      <c r="I1170" s="165">
        <v>0.11061799999999999</v>
      </c>
      <c r="J1170" s="158">
        <v>11250000</v>
      </c>
      <c r="K1170" s="158">
        <f t="shared" si="189"/>
        <v>1244452.5</v>
      </c>
      <c r="L1170" s="158"/>
      <c r="M1170" s="158"/>
      <c r="N1170" s="158">
        <f t="shared" si="192"/>
        <v>1244452.5</v>
      </c>
      <c r="O1170" s="158"/>
      <c r="P1170" s="156"/>
    </row>
    <row r="1171" spans="1:17" s="16" customFormat="1" ht="24" x14ac:dyDescent="0.2">
      <c r="A1171" t="s">
        <v>1681</v>
      </c>
      <c r="B1171" t="s">
        <v>1401</v>
      </c>
      <c r="C1171" s="16" t="s">
        <v>1723</v>
      </c>
      <c r="D1171" s="142" t="s">
        <v>1803</v>
      </c>
      <c r="E1171" s="143" t="s">
        <v>1804</v>
      </c>
      <c r="F1171" s="164" t="s">
        <v>1805</v>
      </c>
      <c r="G1171" s="143" t="s">
        <v>420</v>
      </c>
      <c r="H1171" s="165">
        <v>0.27</v>
      </c>
      <c r="I1171" s="165">
        <v>7.2845999999999994E-2</v>
      </c>
      <c r="J1171" s="158">
        <v>4107143</v>
      </c>
      <c r="K1171" s="158">
        <f t="shared" si="189"/>
        <v>299188.93897799996</v>
      </c>
      <c r="L1171" s="158"/>
      <c r="M1171" s="158"/>
      <c r="N1171" s="158">
        <f t="shared" si="192"/>
        <v>299188.93897799996</v>
      </c>
      <c r="O1171" s="158"/>
      <c r="P1171" s="156"/>
    </row>
    <row r="1172" spans="1:17" s="16" customFormat="1" ht="24" x14ac:dyDescent="0.2">
      <c r="A1172" t="s">
        <v>1681</v>
      </c>
      <c r="B1172" t="s">
        <v>1401</v>
      </c>
      <c r="C1172" s="16" t="s">
        <v>1723</v>
      </c>
      <c r="D1172" s="142" t="s">
        <v>1806</v>
      </c>
      <c r="E1172" s="143" t="s">
        <v>1776</v>
      </c>
      <c r="F1172" s="164" t="s">
        <v>1777</v>
      </c>
      <c r="G1172" s="143" t="s">
        <v>420</v>
      </c>
      <c r="H1172" s="165">
        <v>3.1</v>
      </c>
      <c r="I1172" s="165">
        <v>0.83638000000000001</v>
      </c>
      <c r="J1172" s="158">
        <v>4107143</v>
      </c>
      <c r="K1172" s="158">
        <f t="shared" si="189"/>
        <v>3435132.2623399999</v>
      </c>
      <c r="L1172" s="158"/>
      <c r="M1172" s="158"/>
      <c r="N1172" s="158">
        <f t="shared" si="192"/>
        <v>3435132.2623399999</v>
      </c>
      <c r="O1172" s="158"/>
      <c r="P1172" s="156"/>
    </row>
    <row r="1173" spans="1:17" s="16" customFormat="1" x14ac:dyDescent="0.2">
      <c r="A1173" t="s">
        <v>1681</v>
      </c>
      <c r="B1173" t="s">
        <v>1401</v>
      </c>
      <c r="C1173" s="16" t="s">
        <v>1723</v>
      </c>
      <c r="D1173" s="142" t="s">
        <v>1807</v>
      </c>
      <c r="E1173" s="143" t="s">
        <v>1808</v>
      </c>
      <c r="F1173" s="164" t="s">
        <v>1809</v>
      </c>
      <c r="G1173" s="143" t="s">
        <v>38</v>
      </c>
      <c r="H1173" s="165">
        <v>147</v>
      </c>
      <c r="I1173" s="165">
        <v>39.660600000000002</v>
      </c>
      <c r="J1173" s="158">
        <v>102678</v>
      </c>
      <c r="K1173" s="158">
        <f t="shared" si="189"/>
        <v>4072271.0868000002</v>
      </c>
      <c r="L1173" s="158"/>
      <c r="M1173" s="158"/>
      <c r="N1173" s="158">
        <f t="shared" si="192"/>
        <v>4072271.0868000002</v>
      </c>
      <c r="O1173" s="158"/>
      <c r="P1173" s="156"/>
    </row>
    <row r="1174" spans="1:17" s="1" customFormat="1" x14ac:dyDescent="0.2">
      <c r="A1174" t="s">
        <v>1681</v>
      </c>
      <c r="B1174" t="s">
        <v>1401</v>
      </c>
      <c r="C1174" s="16" t="s">
        <v>1723</v>
      </c>
      <c r="D1174" s="130" t="s">
        <v>288</v>
      </c>
      <c r="E1174" s="131" t="s">
        <v>1781</v>
      </c>
      <c r="F1174" s="131" t="s">
        <v>1810</v>
      </c>
      <c r="G1174" s="132" t="s">
        <v>107</v>
      </c>
      <c r="H1174" s="159">
        <v>8.022E-2</v>
      </c>
      <c r="I1174" s="159">
        <f t="shared" ref="I1174:I1177" si="193">+H1174</f>
        <v>8.022E-2</v>
      </c>
      <c r="J1174" s="166">
        <v>7812501</v>
      </c>
      <c r="K1174" s="166">
        <f t="shared" si="189"/>
        <v>626718.83022</v>
      </c>
      <c r="L1174" s="158"/>
      <c r="M1174" s="158"/>
      <c r="N1174" s="166">
        <f t="shared" si="192"/>
        <v>626718.83022</v>
      </c>
      <c r="O1174" s="158"/>
      <c r="P1174" s="153"/>
    </row>
    <row r="1175" spans="1:17" s="1" customFormat="1" x14ac:dyDescent="0.2">
      <c r="A1175" t="s">
        <v>1681</v>
      </c>
      <c r="B1175" t="s">
        <v>1401</v>
      </c>
      <c r="C1175" s="16" t="s">
        <v>1723</v>
      </c>
      <c r="D1175" s="130" t="s">
        <v>292</v>
      </c>
      <c r="E1175" s="131" t="s">
        <v>1781</v>
      </c>
      <c r="F1175" s="131" t="s">
        <v>1811</v>
      </c>
      <c r="G1175" s="132" t="s">
        <v>107</v>
      </c>
      <c r="H1175" s="159">
        <v>2.5000000000000001E-2</v>
      </c>
      <c r="I1175" s="159">
        <f t="shared" si="193"/>
        <v>2.5000000000000001E-2</v>
      </c>
      <c r="J1175" s="166">
        <v>8343796</v>
      </c>
      <c r="K1175" s="166">
        <f t="shared" si="189"/>
        <v>208594.90000000002</v>
      </c>
      <c r="L1175" s="158"/>
      <c r="M1175" s="158"/>
      <c r="N1175" s="166">
        <f t="shared" si="192"/>
        <v>208594.90000000002</v>
      </c>
      <c r="O1175" s="158"/>
      <c r="P1175" s="153"/>
    </row>
    <row r="1176" spans="1:17" s="1" customFormat="1" x14ac:dyDescent="0.2">
      <c r="A1176" t="s">
        <v>1681</v>
      </c>
      <c r="B1176" t="s">
        <v>1401</v>
      </c>
      <c r="C1176" s="16" t="s">
        <v>1723</v>
      </c>
      <c r="D1176" s="130" t="s">
        <v>298</v>
      </c>
      <c r="E1176" s="131" t="s">
        <v>1781</v>
      </c>
      <c r="F1176" s="131" t="s">
        <v>1782</v>
      </c>
      <c r="G1176" s="132" t="s">
        <v>107</v>
      </c>
      <c r="H1176" s="159">
        <v>1.9166000000000001</v>
      </c>
      <c r="I1176" s="159">
        <f t="shared" si="193"/>
        <v>1.9166000000000001</v>
      </c>
      <c r="J1176" s="166">
        <v>8482143</v>
      </c>
      <c r="K1176" s="166">
        <f t="shared" si="189"/>
        <v>16256875.273800001</v>
      </c>
      <c r="L1176" s="158"/>
      <c r="M1176" s="158"/>
      <c r="N1176" s="166">
        <f t="shared" si="192"/>
        <v>16256875.273800001</v>
      </c>
      <c r="O1176" s="158"/>
      <c r="P1176" s="153"/>
    </row>
    <row r="1177" spans="1:17" s="1" customFormat="1" x14ac:dyDescent="0.2">
      <c r="A1177" t="s">
        <v>1681</v>
      </c>
      <c r="B1177" t="s">
        <v>1401</v>
      </c>
      <c r="C1177" s="16" t="s">
        <v>1723</v>
      </c>
      <c r="D1177" s="130" t="s">
        <v>333</v>
      </c>
      <c r="E1177" s="131" t="s">
        <v>1781</v>
      </c>
      <c r="F1177" s="131" t="s">
        <v>1783</v>
      </c>
      <c r="G1177" s="132" t="s">
        <v>107</v>
      </c>
      <c r="H1177" s="159">
        <v>0.14915999999999999</v>
      </c>
      <c r="I1177" s="159">
        <f t="shared" si="193"/>
        <v>0.14915999999999999</v>
      </c>
      <c r="J1177" s="166">
        <v>8322279</v>
      </c>
      <c r="K1177" s="166">
        <f t="shared" si="189"/>
        <v>1241351.13564</v>
      </c>
      <c r="L1177" s="158"/>
      <c r="M1177" s="158"/>
      <c r="N1177" s="166">
        <f t="shared" si="192"/>
        <v>1241351.13564</v>
      </c>
      <c r="O1177" s="158"/>
      <c r="P1177" s="153"/>
    </row>
    <row r="1178" spans="1:17" ht="15.75" x14ac:dyDescent="0.25">
      <c r="A1178" t="s">
        <v>1681</v>
      </c>
      <c r="B1178" t="s">
        <v>1401</v>
      </c>
      <c r="D1178" s="151" t="s">
        <v>1812</v>
      </c>
      <c r="E1178" s="128"/>
      <c r="F1178" s="163"/>
      <c r="G1178" s="128"/>
      <c r="H1178" s="128"/>
      <c r="I1178" s="128"/>
      <c r="J1178" s="158"/>
      <c r="K1178" s="158"/>
      <c r="L1178" s="158"/>
      <c r="M1178" s="158"/>
      <c r="N1178" s="158"/>
      <c r="O1178" s="158"/>
      <c r="P1178" s="152"/>
    </row>
    <row r="1179" spans="1:17" s="1" customFormat="1" ht="25.5" x14ac:dyDescent="0.2">
      <c r="A1179" t="s">
        <v>1681</v>
      </c>
      <c r="B1179" t="s">
        <v>1401</v>
      </c>
      <c r="C1179" s="1" t="s">
        <v>1683</v>
      </c>
      <c r="D1179" s="130" t="s">
        <v>336</v>
      </c>
      <c r="E1179" s="131" t="s">
        <v>1789</v>
      </c>
      <c r="F1179" s="131" t="s">
        <v>1790</v>
      </c>
      <c r="G1179" s="132" t="s">
        <v>1692</v>
      </c>
      <c r="H1179" s="159">
        <v>5.4229000000000003</v>
      </c>
      <c r="I1179" s="159"/>
      <c r="J1179" s="158"/>
      <c r="K1179" s="158"/>
      <c r="L1179" s="158"/>
      <c r="M1179" s="158"/>
      <c r="N1179" s="158"/>
      <c r="O1179" s="158"/>
      <c r="P1179" s="153"/>
      <c r="Q1179" s="35"/>
    </row>
    <row r="1180" spans="1:17" s="14" customFormat="1" x14ac:dyDescent="0.2">
      <c r="A1180" t="s">
        <v>1681</v>
      </c>
      <c r="B1180" t="s">
        <v>1401</v>
      </c>
      <c r="C1180" s="14" t="s">
        <v>24</v>
      </c>
      <c r="D1180" s="134" t="s">
        <v>339</v>
      </c>
      <c r="E1180" s="135" t="s">
        <v>18</v>
      </c>
      <c r="F1180" s="160" t="s">
        <v>23</v>
      </c>
      <c r="G1180" s="135" t="s">
        <v>24</v>
      </c>
      <c r="H1180" s="158">
        <v>1666</v>
      </c>
      <c r="I1180" s="158">
        <v>9034.5514000000003</v>
      </c>
      <c r="J1180" s="158">
        <v>22914.53</v>
      </c>
      <c r="K1180" s="158">
        <f t="shared" ref="K1180:K1199" si="194">+J1180*I1180</f>
        <v>207022499.091842</v>
      </c>
      <c r="L1180" s="158">
        <f t="shared" ref="L1180:L1181" si="195">+J1180*I1180</f>
        <v>207022499.091842</v>
      </c>
      <c r="M1180" s="158"/>
      <c r="N1180" s="158"/>
      <c r="O1180" s="158"/>
      <c r="P1180" s="154"/>
    </row>
    <row r="1181" spans="1:17" s="16" customFormat="1" x14ac:dyDescent="0.2">
      <c r="A1181" t="s">
        <v>1681</v>
      </c>
      <c r="B1181" t="s">
        <v>1401</v>
      </c>
      <c r="C1181" s="14" t="s">
        <v>24</v>
      </c>
      <c r="D1181" s="134" t="s">
        <v>340</v>
      </c>
      <c r="E1181" s="135" t="s">
        <v>52</v>
      </c>
      <c r="F1181" s="160" t="s">
        <v>1687</v>
      </c>
      <c r="G1181" s="135" t="s">
        <v>24</v>
      </c>
      <c r="H1181" s="158">
        <v>104.86</v>
      </c>
      <c r="I1181" s="158">
        <v>568.64530000000002</v>
      </c>
      <c r="J1181" s="158"/>
      <c r="K1181" s="158">
        <f t="shared" si="194"/>
        <v>0</v>
      </c>
      <c r="L1181" s="158">
        <f t="shared" si="195"/>
        <v>0</v>
      </c>
      <c r="M1181" s="158"/>
      <c r="N1181" s="158"/>
      <c r="O1181" s="158"/>
      <c r="P1181" s="156"/>
    </row>
    <row r="1182" spans="1:17" s="15" customFormat="1" x14ac:dyDescent="0.2">
      <c r="A1182" t="s">
        <v>1681</v>
      </c>
      <c r="B1182" t="s">
        <v>1401</v>
      </c>
      <c r="C1182" s="124" t="s">
        <v>28</v>
      </c>
      <c r="D1182" s="138" t="s">
        <v>341</v>
      </c>
      <c r="E1182" s="139" t="s">
        <v>262</v>
      </c>
      <c r="F1182" s="161" t="s">
        <v>263</v>
      </c>
      <c r="G1182" s="139" t="s">
        <v>28</v>
      </c>
      <c r="H1182" s="162">
        <v>0.27</v>
      </c>
      <c r="I1182" s="162">
        <v>1.4641999999999999</v>
      </c>
      <c r="J1182" s="158">
        <v>140201</v>
      </c>
      <c r="K1182" s="158">
        <f t="shared" si="194"/>
        <v>205282.30419999998</v>
      </c>
      <c r="L1182" s="158"/>
      <c r="M1182" s="158">
        <f t="shared" ref="M1182:M1188" si="196">+J1182*I1182</f>
        <v>205282.30419999998</v>
      </c>
      <c r="N1182" s="158"/>
      <c r="O1182" s="158"/>
      <c r="P1182" s="155"/>
    </row>
    <row r="1183" spans="1:17" s="15" customFormat="1" x14ac:dyDescent="0.2">
      <c r="A1183" t="s">
        <v>1681</v>
      </c>
      <c r="B1183" t="s">
        <v>1401</v>
      </c>
      <c r="C1183" s="124" t="s">
        <v>28</v>
      </c>
      <c r="D1183" s="138" t="s">
        <v>342</v>
      </c>
      <c r="E1183" s="139" t="s">
        <v>1728</v>
      </c>
      <c r="F1183" s="161" t="s">
        <v>1729</v>
      </c>
      <c r="G1183" s="139" t="s">
        <v>28</v>
      </c>
      <c r="H1183" s="162">
        <v>83.3</v>
      </c>
      <c r="I1183" s="162">
        <v>451.7276</v>
      </c>
      <c r="J1183" s="158">
        <v>1592</v>
      </c>
      <c r="K1183" s="158">
        <f t="shared" si="194"/>
        <v>719150.33920000005</v>
      </c>
      <c r="L1183" s="158"/>
      <c r="M1183" s="158">
        <f t="shared" si="196"/>
        <v>719150.33920000005</v>
      </c>
      <c r="N1183" s="158"/>
      <c r="O1183" s="158"/>
      <c r="P1183" s="155"/>
    </row>
    <row r="1184" spans="1:17" s="15" customFormat="1" x14ac:dyDescent="0.2">
      <c r="A1184" t="s">
        <v>1681</v>
      </c>
      <c r="B1184" t="s">
        <v>1401</v>
      </c>
      <c r="C1184" s="124" t="s">
        <v>28</v>
      </c>
      <c r="D1184" s="138" t="s">
        <v>1813</v>
      </c>
      <c r="E1184" s="139" t="s">
        <v>1079</v>
      </c>
      <c r="F1184" s="161" t="s">
        <v>1080</v>
      </c>
      <c r="G1184" s="139" t="s">
        <v>28</v>
      </c>
      <c r="H1184" s="162">
        <v>101.27</v>
      </c>
      <c r="I1184" s="162">
        <v>549.1771</v>
      </c>
      <c r="J1184" s="158">
        <v>132706</v>
      </c>
      <c r="K1184" s="158">
        <f t="shared" si="194"/>
        <v>72879096.232600003</v>
      </c>
      <c r="L1184" s="158"/>
      <c r="M1184" s="158">
        <f t="shared" si="196"/>
        <v>72879096.232600003</v>
      </c>
      <c r="N1184" s="158"/>
      <c r="O1184" s="158"/>
      <c r="P1184" s="155"/>
    </row>
    <row r="1185" spans="1:16" s="15" customFormat="1" ht="24" x14ac:dyDescent="0.2">
      <c r="A1185" t="s">
        <v>1681</v>
      </c>
      <c r="B1185" t="s">
        <v>1401</v>
      </c>
      <c r="C1185" s="124" t="s">
        <v>28</v>
      </c>
      <c r="D1185" s="138" t="s">
        <v>1814</v>
      </c>
      <c r="E1185" s="139" t="s">
        <v>876</v>
      </c>
      <c r="F1185" s="161" t="s">
        <v>877</v>
      </c>
      <c r="G1185" s="139" t="s">
        <v>28</v>
      </c>
      <c r="H1185" s="162">
        <v>1.33</v>
      </c>
      <c r="I1185" s="162">
        <v>7.2125000000000004</v>
      </c>
      <c r="J1185" s="158">
        <v>239461</v>
      </c>
      <c r="K1185" s="158">
        <f t="shared" si="194"/>
        <v>1727112.4625000001</v>
      </c>
      <c r="L1185" s="158"/>
      <c r="M1185" s="158">
        <f t="shared" si="196"/>
        <v>1727112.4625000001</v>
      </c>
      <c r="N1185" s="158"/>
      <c r="O1185" s="158"/>
      <c r="P1185" s="155"/>
    </row>
    <row r="1186" spans="1:16" s="15" customFormat="1" x14ac:dyDescent="0.2">
      <c r="A1186" t="s">
        <v>1681</v>
      </c>
      <c r="B1186" t="s">
        <v>1401</v>
      </c>
      <c r="C1186" s="124" t="s">
        <v>28</v>
      </c>
      <c r="D1186" s="138" t="s">
        <v>1815</v>
      </c>
      <c r="E1186" s="139" t="s">
        <v>1767</v>
      </c>
      <c r="F1186" s="161" t="s">
        <v>1768</v>
      </c>
      <c r="G1186" s="139" t="s">
        <v>28</v>
      </c>
      <c r="H1186" s="162">
        <v>2.6</v>
      </c>
      <c r="I1186" s="162">
        <v>14.099500000000001</v>
      </c>
      <c r="J1186" s="158">
        <v>1349</v>
      </c>
      <c r="K1186" s="158">
        <f t="shared" si="194"/>
        <v>19020.2255</v>
      </c>
      <c r="L1186" s="158"/>
      <c r="M1186" s="158">
        <f t="shared" si="196"/>
        <v>19020.2255</v>
      </c>
      <c r="N1186" s="158"/>
      <c r="O1186" s="158"/>
      <c r="P1186" s="155"/>
    </row>
    <row r="1187" spans="1:16" s="15" customFormat="1" x14ac:dyDescent="0.2">
      <c r="A1187" t="s">
        <v>1681</v>
      </c>
      <c r="B1187" t="s">
        <v>1401</v>
      </c>
      <c r="C1187" s="124" t="s">
        <v>28</v>
      </c>
      <c r="D1187" s="138" t="s">
        <v>1816</v>
      </c>
      <c r="E1187" s="139" t="s">
        <v>98</v>
      </c>
      <c r="F1187" s="161" t="s">
        <v>99</v>
      </c>
      <c r="G1187" s="139" t="s">
        <v>28</v>
      </c>
      <c r="H1187" s="162">
        <v>341.53</v>
      </c>
      <c r="I1187" s="162">
        <v>1852.0830000000001</v>
      </c>
      <c r="J1187" s="158">
        <v>6858</v>
      </c>
      <c r="K1187" s="158">
        <f t="shared" si="194"/>
        <v>12701585.214</v>
      </c>
      <c r="L1187" s="158"/>
      <c r="M1187" s="158">
        <f t="shared" si="196"/>
        <v>12701585.214</v>
      </c>
      <c r="N1187" s="158"/>
      <c r="O1187" s="158"/>
      <c r="P1187" s="155"/>
    </row>
    <row r="1188" spans="1:16" s="15" customFormat="1" x14ac:dyDescent="0.2">
      <c r="A1188" t="s">
        <v>1681</v>
      </c>
      <c r="B1188" t="s">
        <v>1401</v>
      </c>
      <c r="C1188" s="124" t="s">
        <v>28</v>
      </c>
      <c r="D1188" s="138" t="s">
        <v>1817</v>
      </c>
      <c r="E1188" s="139" t="s">
        <v>30</v>
      </c>
      <c r="F1188" s="161" t="s">
        <v>31</v>
      </c>
      <c r="G1188" s="139" t="s">
        <v>28</v>
      </c>
      <c r="H1188" s="162">
        <v>1.99</v>
      </c>
      <c r="I1188" s="162">
        <v>10.791600000000001</v>
      </c>
      <c r="J1188" s="158">
        <v>106655</v>
      </c>
      <c r="K1188" s="158">
        <f t="shared" si="194"/>
        <v>1150978.098</v>
      </c>
      <c r="L1188" s="158"/>
      <c r="M1188" s="158">
        <f t="shared" si="196"/>
        <v>1150978.098</v>
      </c>
      <c r="N1188" s="158"/>
      <c r="O1188" s="158"/>
      <c r="P1188" s="155"/>
    </row>
    <row r="1189" spans="1:16" s="16" customFormat="1" x14ac:dyDescent="0.2">
      <c r="A1189" t="s">
        <v>1681</v>
      </c>
      <c r="B1189" t="s">
        <v>1401</v>
      </c>
      <c r="C1189" s="16" t="s">
        <v>1723</v>
      </c>
      <c r="D1189" s="142" t="s">
        <v>1818</v>
      </c>
      <c r="E1189" s="143" t="s">
        <v>1797</v>
      </c>
      <c r="F1189" s="164" t="s">
        <v>1798</v>
      </c>
      <c r="G1189" s="143" t="s">
        <v>420</v>
      </c>
      <c r="H1189" s="165">
        <v>101.5</v>
      </c>
      <c r="I1189" s="165">
        <v>550.42439999999999</v>
      </c>
      <c r="J1189" s="158">
        <v>544643</v>
      </c>
      <c r="K1189" s="158">
        <f t="shared" si="194"/>
        <v>299784796.4892</v>
      </c>
      <c r="L1189" s="158"/>
      <c r="M1189" s="158"/>
      <c r="N1189" s="158">
        <f t="shared" ref="N1189:N1199" si="197">+J1189*I1189</f>
        <v>299784796.4892</v>
      </c>
      <c r="O1189" s="158"/>
      <c r="P1189" s="156"/>
    </row>
    <row r="1190" spans="1:16" s="16" customFormat="1" x14ac:dyDescent="0.2">
      <c r="A1190" t="s">
        <v>1681</v>
      </c>
      <c r="B1190" t="s">
        <v>1401</v>
      </c>
      <c r="C1190" s="16" t="s">
        <v>1723</v>
      </c>
      <c r="D1190" s="142" t="s">
        <v>1819</v>
      </c>
      <c r="E1190" s="143" t="s">
        <v>1177</v>
      </c>
      <c r="F1190" s="164" t="s">
        <v>1800</v>
      </c>
      <c r="G1190" s="143" t="s">
        <v>107</v>
      </c>
      <c r="H1190" s="165">
        <v>0.18</v>
      </c>
      <c r="I1190" s="165">
        <v>0.97612200000000005</v>
      </c>
      <c r="J1190" s="158">
        <v>15402000</v>
      </c>
      <c r="K1190" s="158">
        <f t="shared" si="194"/>
        <v>15034231.044000002</v>
      </c>
      <c r="L1190" s="158"/>
      <c r="M1190" s="158"/>
      <c r="N1190" s="158">
        <f t="shared" si="197"/>
        <v>15034231.044000002</v>
      </c>
      <c r="O1190" s="158"/>
      <c r="P1190" s="156"/>
    </row>
    <row r="1191" spans="1:16" s="16" customFormat="1" x14ac:dyDescent="0.2">
      <c r="A1191" t="s">
        <v>1681</v>
      </c>
      <c r="B1191" t="s">
        <v>1401</v>
      </c>
      <c r="C1191" s="16" t="s">
        <v>1723</v>
      </c>
      <c r="D1191" s="142" t="s">
        <v>1820</v>
      </c>
      <c r="E1191" s="143" t="s">
        <v>124</v>
      </c>
      <c r="F1191" s="164" t="s">
        <v>125</v>
      </c>
      <c r="G1191" s="143" t="s">
        <v>107</v>
      </c>
      <c r="H1191" s="165">
        <v>0.128</v>
      </c>
      <c r="I1191" s="165">
        <v>0.69413100000000005</v>
      </c>
      <c r="J1191" s="158">
        <v>9500000</v>
      </c>
      <c r="K1191" s="158">
        <f t="shared" si="194"/>
        <v>6594244.5000000009</v>
      </c>
      <c r="L1191" s="158"/>
      <c r="M1191" s="158"/>
      <c r="N1191" s="158">
        <f t="shared" si="197"/>
        <v>6594244.5000000009</v>
      </c>
      <c r="O1191" s="158"/>
      <c r="P1191" s="156"/>
    </row>
    <row r="1192" spans="1:16" s="16" customFormat="1" x14ac:dyDescent="0.2">
      <c r="A1192" t="s">
        <v>1681</v>
      </c>
      <c r="B1192" t="s">
        <v>1401</v>
      </c>
      <c r="C1192" s="16" t="s">
        <v>1723</v>
      </c>
      <c r="D1192" s="142" t="s">
        <v>1821</v>
      </c>
      <c r="E1192" s="143" t="s">
        <v>693</v>
      </c>
      <c r="F1192" s="164" t="s">
        <v>694</v>
      </c>
      <c r="G1192" s="143" t="s">
        <v>107</v>
      </c>
      <c r="H1192" s="165">
        <v>0.41</v>
      </c>
      <c r="I1192" s="165">
        <v>2.2233999999999998</v>
      </c>
      <c r="J1192" s="158">
        <v>11250000</v>
      </c>
      <c r="K1192" s="158">
        <f t="shared" si="194"/>
        <v>25013249.999999996</v>
      </c>
      <c r="L1192" s="158"/>
      <c r="M1192" s="158"/>
      <c r="N1192" s="158">
        <f t="shared" si="197"/>
        <v>25013249.999999996</v>
      </c>
      <c r="O1192" s="158"/>
      <c r="P1192" s="156"/>
    </row>
    <row r="1193" spans="1:16" s="16" customFormat="1" ht="24" x14ac:dyDescent="0.2">
      <c r="A1193" t="s">
        <v>1681</v>
      </c>
      <c r="B1193" t="s">
        <v>1401</v>
      </c>
      <c r="C1193" s="16" t="s">
        <v>1723</v>
      </c>
      <c r="D1193" s="142" t="s">
        <v>1822</v>
      </c>
      <c r="E1193" s="143" t="s">
        <v>1804</v>
      </c>
      <c r="F1193" s="164" t="s">
        <v>1805</v>
      </c>
      <c r="G1193" s="143" t="s">
        <v>420</v>
      </c>
      <c r="H1193" s="165">
        <v>0.27</v>
      </c>
      <c r="I1193" s="165">
        <v>1.4641999999999999</v>
      </c>
      <c r="J1193" s="158">
        <v>4107143</v>
      </c>
      <c r="K1193" s="158">
        <f t="shared" si="194"/>
        <v>6013678.7806000002</v>
      </c>
      <c r="L1193" s="158"/>
      <c r="M1193" s="158"/>
      <c r="N1193" s="158">
        <f t="shared" si="197"/>
        <v>6013678.7806000002</v>
      </c>
      <c r="O1193" s="158"/>
      <c r="P1193" s="156"/>
    </row>
    <row r="1194" spans="1:16" s="16" customFormat="1" ht="24" x14ac:dyDescent="0.2">
      <c r="A1194" t="s">
        <v>1681</v>
      </c>
      <c r="B1194" t="s">
        <v>1401</v>
      </c>
      <c r="C1194" s="16" t="s">
        <v>1723</v>
      </c>
      <c r="D1194" s="142" t="s">
        <v>1823</v>
      </c>
      <c r="E1194" s="143" t="s">
        <v>1776</v>
      </c>
      <c r="F1194" s="164" t="s">
        <v>1777</v>
      </c>
      <c r="G1194" s="143" t="s">
        <v>420</v>
      </c>
      <c r="H1194" s="165">
        <v>3.1</v>
      </c>
      <c r="I1194" s="165">
        <v>16.811</v>
      </c>
      <c r="J1194" s="158">
        <v>4107143</v>
      </c>
      <c r="K1194" s="158">
        <f t="shared" si="194"/>
        <v>69045180.973000005</v>
      </c>
      <c r="L1194" s="158"/>
      <c r="M1194" s="158"/>
      <c r="N1194" s="158">
        <f t="shared" si="197"/>
        <v>69045180.973000005</v>
      </c>
      <c r="O1194" s="158"/>
      <c r="P1194" s="156"/>
    </row>
    <row r="1195" spans="1:16" s="16" customFormat="1" x14ac:dyDescent="0.2">
      <c r="A1195" t="s">
        <v>1681</v>
      </c>
      <c r="B1195" t="s">
        <v>1401</v>
      </c>
      <c r="C1195" s="16" t="s">
        <v>1723</v>
      </c>
      <c r="D1195" s="142" t="s">
        <v>1824</v>
      </c>
      <c r="E1195" s="143" t="s">
        <v>1808</v>
      </c>
      <c r="F1195" s="164" t="s">
        <v>1809</v>
      </c>
      <c r="G1195" s="143" t="s">
        <v>38</v>
      </c>
      <c r="H1195" s="165">
        <v>147</v>
      </c>
      <c r="I1195" s="165">
        <v>797.16629999999998</v>
      </c>
      <c r="J1195" s="158">
        <v>102678</v>
      </c>
      <c r="K1195" s="158">
        <f t="shared" si="194"/>
        <v>81851441.351400003</v>
      </c>
      <c r="L1195" s="158"/>
      <c r="M1195" s="158"/>
      <c r="N1195" s="158">
        <f t="shared" si="197"/>
        <v>81851441.351400003</v>
      </c>
      <c r="O1195" s="158"/>
      <c r="P1195" s="156"/>
    </row>
    <row r="1196" spans="1:16" s="1" customFormat="1" x14ac:dyDescent="0.2">
      <c r="A1196" t="s">
        <v>1681</v>
      </c>
      <c r="B1196" t="s">
        <v>1401</v>
      </c>
      <c r="C1196" s="16" t="s">
        <v>1723</v>
      </c>
      <c r="D1196" s="130" t="s">
        <v>343</v>
      </c>
      <c r="E1196" s="131" t="s">
        <v>1781</v>
      </c>
      <c r="F1196" s="131" t="s">
        <v>1810</v>
      </c>
      <c r="G1196" s="132" t="s">
        <v>107</v>
      </c>
      <c r="H1196" s="159">
        <v>2.0847000000000002</v>
      </c>
      <c r="I1196" s="159">
        <f t="shared" ref="I1196:I1199" si="198">+H1196</f>
        <v>2.0847000000000002</v>
      </c>
      <c r="J1196" s="166">
        <v>7812501</v>
      </c>
      <c r="K1196" s="166">
        <f t="shared" si="194"/>
        <v>16286720.834700001</v>
      </c>
      <c r="L1196" s="158"/>
      <c r="M1196" s="158"/>
      <c r="N1196" s="166">
        <f t="shared" si="197"/>
        <v>16286720.834700001</v>
      </c>
      <c r="O1196" s="158"/>
      <c r="P1196" s="153"/>
    </row>
    <row r="1197" spans="1:16" s="1" customFormat="1" x14ac:dyDescent="0.2">
      <c r="A1197" t="s">
        <v>1681</v>
      </c>
      <c r="B1197" t="s">
        <v>1401</v>
      </c>
      <c r="C1197" s="16" t="s">
        <v>1723</v>
      </c>
      <c r="D1197" s="130" t="s">
        <v>349</v>
      </c>
      <c r="E1197" s="131" t="s">
        <v>1781</v>
      </c>
      <c r="F1197" s="131" t="s">
        <v>1782</v>
      </c>
      <c r="G1197" s="132" t="s">
        <v>107</v>
      </c>
      <c r="H1197" s="159">
        <v>38.755400000000002</v>
      </c>
      <c r="I1197" s="159">
        <f t="shared" si="198"/>
        <v>38.755400000000002</v>
      </c>
      <c r="J1197" s="166">
        <v>8482143</v>
      </c>
      <c r="K1197" s="166">
        <f t="shared" si="194"/>
        <v>328728844.8222</v>
      </c>
      <c r="L1197" s="158"/>
      <c r="M1197" s="158"/>
      <c r="N1197" s="166">
        <f t="shared" si="197"/>
        <v>328728844.8222</v>
      </c>
      <c r="O1197" s="158"/>
      <c r="P1197" s="153"/>
    </row>
    <row r="1198" spans="1:16" s="1" customFormat="1" x14ac:dyDescent="0.2">
      <c r="A1198" t="s">
        <v>1681</v>
      </c>
      <c r="B1198" t="s">
        <v>1401</v>
      </c>
      <c r="C1198" s="16" t="s">
        <v>1723</v>
      </c>
      <c r="D1198" s="130" t="s">
        <v>356</v>
      </c>
      <c r="E1198" s="131" t="s">
        <v>1781</v>
      </c>
      <c r="F1198" s="131" t="s">
        <v>1783</v>
      </c>
      <c r="G1198" s="132" t="s">
        <v>107</v>
      </c>
      <c r="H1198" s="159">
        <v>6.3956999999999997</v>
      </c>
      <c r="I1198" s="159">
        <f t="shared" si="198"/>
        <v>6.3956999999999997</v>
      </c>
      <c r="J1198" s="166">
        <v>8322279</v>
      </c>
      <c r="K1198" s="166">
        <f t="shared" si="194"/>
        <v>53226799.800299995</v>
      </c>
      <c r="L1198" s="158"/>
      <c r="M1198" s="158"/>
      <c r="N1198" s="166">
        <f t="shared" si="197"/>
        <v>53226799.800299995</v>
      </c>
      <c r="O1198" s="158"/>
      <c r="P1198" s="153"/>
    </row>
    <row r="1199" spans="1:16" s="1" customFormat="1" x14ac:dyDescent="0.2">
      <c r="A1199" t="s">
        <v>1681</v>
      </c>
      <c r="B1199" t="s">
        <v>1401</v>
      </c>
      <c r="C1199" s="16" t="s">
        <v>1723</v>
      </c>
      <c r="D1199" s="130" t="s">
        <v>362</v>
      </c>
      <c r="E1199" s="131" t="s">
        <v>1781</v>
      </c>
      <c r="F1199" s="131" t="s">
        <v>1784</v>
      </c>
      <c r="G1199" s="132" t="s">
        <v>107</v>
      </c>
      <c r="H1199" s="159">
        <v>2.7023000000000001</v>
      </c>
      <c r="I1199" s="159">
        <f t="shared" si="198"/>
        <v>2.7023000000000001</v>
      </c>
      <c r="J1199" s="166">
        <v>8482143</v>
      </c>
      <c r="K1199" s="166">
        <f t="shared" si="194"/>
        <v>22921295.028900001</v>
      </c>
      <c r="L1199" s="158"/>
      <c r="M1199" s="158"/>
      <c r="N1199" s="166">
        <f t="shared" si="197"/>
        <v>22921295.028900001</v>
      </c>
      <c r="O1199" s="158"/>
      <c r="P1199" s="153"/>
    </row>
    <row r="1200" spans="1:16" ht="15.75" x14ac:dyDescent="0.25">
      <c r="A1200" t="s">
        <v>1681</v>
      </c>
      <c r="B1200" t="s">
        <v>1401</v>
      </c>
      <c r="D1200" s="151" t="s">
        <v>1825</v>
      </c>
      <c r="E1200" s="128"/>
      <c r="F1200" s="163"/>
      <c r="G1200" s="128"/>
      <c r="H1200" s="128"/>
      <c r="I1200" s="128"/>
      <c r="J1200" s="158"/>
      <c r="K1200" s="158"/>
      <c r="L1200" s="158"/>
      <c r="M1200" s="158"/>
      <c r="N1200" s="158"/>
      <c r="O1200" s="158"/>
      <c r="P1200" s="152"/>
    </row>
    <row r="1201" spans="1:17" s="1" customFormat="1" ht="41.25" customHeight="1" x14ac:dyDescent="0.2">
      <c r="A1201" t="s">
        <v>1681</v>
      </c>
      <c r="B1201" t="s">
        <v>1401</v>
      </c>
      <c r="C1201" s="1" t="s">
        <v>1683</v>
      </c>
      <c r="D1201" s="130" t="s">
        <v>370</v>
      </c>
      <c r="E1201" s="131" t="s">
        <v>1826</v>
      </c>
      <c r="F1201" s="131" t="s">
        <v>1827</v>
      </c>
      <c r="G1201" s="132" t="s">
        <v>1692</v>
      </c>
      <c r="H1201" s="159">
        <v>0.57599999999999996</v>
      </c>
      <c r="I1201" s="159"/>
      <c r="J1201" s="158"/>
      <c r="K1201" s="158"/>
      <c r="L1201" s="158"/>
      <c r="M1201" s="158"/>
      <c r="N1201" s="158"/>
      <c r="O1201" s="158"/>
      <c r="P1201" s="153"/>
      <c r="Q1201" s="35"/>
    </row>
    <row r="1202" spans="1:17" s="14" customFormat="1" x14ac:dyDescent="0.2">
      <c r="A1202" t="s">
        <v>1681</v>
      </c>
      <c r="B1202" t="s">
        <v>1401</v>
      </c>
      <c r="C1202" s="14" t="s">
        <v>24</v>
      </c>
      <c r="D1202" s="134" t="s">
        <v>371</v>
      </c>
      <c r="E1202" s="135" t="s">
        <v>18</v>
      </c>
      <c r="F1202" s="160" t="s">
        <v>23</v>
      </c>
      <c r="G1202" s="135" t="s">
        <v>24</v>
      </c>
      <c r="H1202" s="158">
        <v>758.74</v>
      </c>
      <c r="I1202" s="158">
        <v>437.0342</v>
      </c>
      <c r="J1202" s="158">
        <v>22914.53</v>
      </c>
      <c r="K1202" s="158">
        <f t="shared" ref="K1202:K1222" si="199">+J1202*I1202</f>
        <v>10014433.286925999</v>
      </c>
      <c r="L1202" s="158">
        <f t="shared" ref="L1202:L1203" si="200">+J1202*I1202</f>
        <v>10014433.286925999</v>
      </c>
      <c r="M1202" s="158"/>
      <c r="N1202" s="158"/>
      <c r="O1202" s="158"/>
      <c r="P1202" s="154"/>
    </row>
    <row r="1203" spans="1:17" s="16" customFormat="1" x14ac:dyDescent="0.2">
      <c r="A1203" t="s">
        <v>1681</v>
      </c>
      <c r="B1203" t="s">
        <v>1401</v>
      </c>
      <c r="C1203" s="14" t="s">
        <v>24</v>
      </c>
      <c r="D1203" s="134" t="s">
        <v>372</v>
      </c>
      <c r="E1203" s="135" t="s">
        <v>52</v>
      </c>
      <c r="F1203" s="160" t="s">
        <v>1687</v>
      </c>
      <c r="G1203" s="135" t="s">
        <v>24</v>
      </c>
      <c r="H1203" s="158">
        <v>41.11</v>
      </c>
      <c r="I1203" s="158">
        <v>23.679400000000001</v>
      </c>
      <c r="J1203" s="158"/>
      <c r="K1203" s="158">
        <f t="shared" si="199"/>
        <v>0</v>
      </c>
      <c r="L1203" s="158">
        <f t="shared" si="200"/>
        <v>0</v>
      </c>
      <c r="M1203" s="158"/>
      <c r="N1203" s="158"/>
      <c r="O1203" s="158"/>
      <c r="P1203" s="156"/>
    </row>
    <row r="1204" spans="1:17" s="15" customFormat="1" x14ac:dyDescent="0.2">
      <c r="A1204" t="s">
        <v>1681</v>
      </c>
      <c r="B1204" t="s">
        <v>1401</v>
      </c>
      <c r="C1204" s="124" t="s">
        <v>28</v>
      </c>
      <c r="D1204" s="138" t="s">
        <v>373</v>
      </c>
      <c r="E1204" s="139" t="s">
        <v>262</v>
      </c>
      <c r="F1204" s="161" t="s">
        <v>263</v>
      </c>
      <c r="G1204" s="139" t="s">
        <v>28</v>
      </c>
      <c r="H1204" s="162">
        <v>0.27</v>
      </c>
      <c r="I1204" s="162">
        <v>0.15551999999999999</v>
      </c>
      <c r="J1204" s="158">
        <v>140201</v>
      </c>
      <c r="K1204" s="158">
        <f t="shared" si="199"/>
        <v>21804.059519999999</v>
      </c>
      <c r="L1204" s="158"/>
      <c r="M1204" s="158">
        <f t="shared" ref="M1204:M1210" si="201">+J1204*I1204</f>
        <v>21804.059519999999</v>
      </c>
      <c r="N1204" s="158"/>
      <c r="O1204" s="158"/>
      <c r="P1204" s="155"/>
    </row>
    <row r="1205" spans="1:17" s="15" customFormat="1" x14ac:dyDescent="0.2">
      <c r="A1205" t="s">
        <v>1681</v>
      </c>
      <c r="B1205" t="s">
        <v>1401</v>
      </c>
      <c r="C1205" s="124" t="s">
        <v>28</v>
      </c>
      <c r="D1205" s="138" t="s">
        <v>374</v>
      </c>
      <c r="E1205" s="139" t="s">
        <v>1743</v>
      </c>
      <c r="F1205" s="161" t="s">
        <v>1744</v>
      </c>
      <c r="G1205" s="139" t="s">
        <v>28</v>
      </c>
      <c r="H1205" s="162">
        <v>38.32</v>
      </c>
      <c r="I1205" s="162">
        <v>22.072299999999998</v>
      </c>
      <c r="J1205" s="158">
        <v>965</v>
      </c>
      <c r="K1205" s="158">
        <f t="shared" si="199"/>
        <v>21299.769499999999</v>
      </c>
      <c r="L1205" s="158"/>
      <c r="M1205" s="158">
        <f t="shared" si="201"/>
        <v>21299.769499999999</v>
      </c>
      <c r="N1205" s="158"/>
      <c r="O1205" s="158"/>
      <c r="P1205" s="155"/>
    </row>
    <row r="1206" spans="1:17" s="15" customFormat="1" x14ac:dyDescent="0.2">
      <c r="A1206" t="s">
        <v>1681</v>
      </c>
      <c r="B1206" t="s">
        <v>1401</v>
      </c>
      <c r="C1206" s="124" t="s">
        <v>28</v>
      </c>
      <c r="D1206" s="138" t="s">
        <v>1828</v>
      </c>
      <c r="E1206" s="139" t="s">
        <v>1079</v>
      </c>
      <c r="F1206" s="161" t="s">
        <v>1080</v>
      </c>
      <c r="G1206" s="139" t="s">
        <v>28</v>
      </c>
      <c r="H1206" s="162">
        <v>38.68</v>
      </c>
      <c r="I1206" s="162">
        <v>22.279699999999998</v>
      </c>
      <c r="J1206" s="158">
        <v>132706</v>
      </c>
      <c r="K1206" s="158">
        <f t="shared" si="199"/>
        <v>2956649.8681999999</v>
      </c>
      <c r="L1206" s="158"/>
      <c r="M1206" s="158">
        <f t="shared" si="201"/>
        <v>2956649.8681999999</v>
      </c>
      <c r="N1206" s="158"/>
      <c r="O1206" s="158"/>
      <c r="P1206" s="155"/>
    </row>
    <row r="1207" spans="1:17" s="15" customFormat="1" ht="24" x14ac:dyDescent="0.2">
      <c r="A1207" t="s">
        <v>1681</v>
      </c>
      <c r="B1207" t="s">
        <v>1401</v>
      </c>
      <c r="C1207" s="124" t="s">
        <v>28</v>
      </c>
      <c r="D1207" s="138" t="s">
        <v>1829</v>
      </c>
      <c r="E1207" s="139" t="s">
        <v>876</v>
      </c>
      <c r="F1207" s="161" t="s">
        <v>877</v>
      </c>
      <c r="G1207" s="139" t="s">
        <v>28</v>
      </c>
      <c r="H1207" s="162">
        <v>0.94</v>
      </c>
      <c r="I1207" s="162">
        <v>0.54144000000000003</v>
      </c>
      <c r="J1207" s="158">
        <v>239461</v>
      </c>
      <c r="K1207" s="158">
        <f t="shared" si="199"/>
        <v>129653.76384000001</v>
      </c>
      <c r="L1207" s="158"/>
      <c r="M1207" s="158">
        <f t="shared" si="201"/>
        <v>129653.76384000001</v>
      </c>
      <c r="N1207" s="158"/>
      <c r="O1207" s="158"/>
      <c r="P1207" s="155"/>
    </row>
    <row r="1208" spans="1:17" s="15" customFormat="1" x14ac:dyDescent="0.2">
      <c r="A1208" t="s">
        <v>1681</v>
      </c>
      <c r="B1208" t="s">
        <v>1401</v>
      </c>
      <c r="C1208" s="124" t="s">
        <v>28</v>
      </c>
      <c r="D1208" s="138" t="s">
        <v>1830</v>
      </c>
      <c r="E1208" s="139" t="s">
        <v>1767</v>
      </c>
      <c r="F1208" s="161" t="s">
        <v>1768</v>
      </c>
      <c r="G1208" s="139" t="s">
        <v>28</v>
      </c>
      <c r="H1208" s="162">
        <v>1.51</v>
      </c>
      <c r="I1208" s="162">
        <v>0.86975999999999998</v>
      </c>
      <c r="J1208" s="158">
        <v>1349</v>
      </c>
      <c r="K1208" s="158">
        <f t="shared" si="199"/>
        <v>1173.3062399999999</v>
      </c>
      <c r="L1208" s="158"/>
      <c r="M1208" s="158">
        <f t="shared" si="201"/>
        <v>1173.3062399999999</v>
      </c>
      <c r="N1208" s="158"/>
      <c r="O1208" s="158"/>
      <c r="P1208" s="155"/>
    </row>
    <row r="1209" spans="1:17" s="15" customFormat="1" x14ac:dyDescent="0.2">
      <c r="A1209" t="s">
        <v>1681</v>
      </c>
      <c r="B1209" t="s">
        <v>1401</v>
      </c>
      <c r="C1209" s="124" t="s">
        <v>28</v>
      </c>
      <c r="D1209" s="138" t="s">
        <v>1831</v>
      </c>
      <c r="E1209" s="139" t="s">
        <v>98</v>
      </c>
      <c r="F1209" s="161" t="s">
        <v>99</v>
      </c>
      <c r="G1209" s="139" t="s">
        <v>28</v>
      </c>
      <c r="H1209" s="162">
        <v>99.96</v>
      </c>
      <c r="I1209" s="162">
        <v>57.576999999999998</v>
      </c>
      <c r="J1209" s="158">
        <v>6858</v>
      </c>
      <c r="K1209" s="158">
        <f t="shared" si="199"/>
        <v>394863.06599999999</v>
      </c>
      <c r="L1209" s="158"/>
      <c r="M1209" s="158">
        <f t="shared" si="201"/>
        <v>394863.06599999999</v>
      </c>
      <c r="N1209" s="158"/>
      <c r="O1209" s="158"/>
      <c r="P1209" s="155"/>
    </row>
    <row r="1210" spans="1:17" s="15" customFormat="1" x14ac:dyDescent="0.2">
      <c r="A1210" t="s">
        <v>1681</v>
      </c>
      <c r="B1210" t="s">
        <v>1401</v>
      </c>
      <c r="C1210" s="124" t="s">
        <v>28</v>
      </c>
      <c r="D1210" s="138" t="s">
        <v>1832</v>
      </c>
      <c r="E1210" s="139" t="s">
        <v>30</v>
      </c>
      <c r="F1210" s="161" t="s">
        <v>31</v>
      </c>
      <c r="G1210" s="139" t="s">
        <v>28</v>
      </c>
      <c r="H1210" s="162">
        <v>1.22</v>
      </c>
      <c r="I1210" s="162">
        <v>0.70272000000000001</v>
      </c>
      <c r="J1210" s="158">
        <v>106655</v>
      </c>
      <c r="K1210" s="158">
        <f t="shared" si="199"/>
        <v>74948.601599999995</v>
      </c>
      <c r="L1210" s="158"/>
      <c r="M1210" s="158">
        <f t="shared" si="201"/>
        <v>74948.601599999995</v>
      </c>
      <c r="N1210" s="158"/>
      <c r="O1210" s="158"/>
      <c r="P1210" s="155"/>
    </row>
    <row r="1211" spans="1:17" s="16" customFormat="1" x14ac:dyDescent="0.2">
      <c r="A1211" t="s">
        <v>1681</v>
      </c>
      <c r="B1211" t="s">
        <v>1401</v>
      </c>
      <c r="C1211" s="16" t="s">
        <v>1723</v>
      </c>
      <c r="D1211" s="142" t="s">
        <v>1833</v>
      </c>
      <c r="E1211" s="143" t="s">
        <v>1797</v>
      </c>
      <c r="F1211" s="164" t="s">
        <v>1798</v>
      </c>
      <c r="G1211" s="143" t="s">
        <v>420</v>
      </c>
      <c r="H1211" s="165">
        <v>101.5</v>
      </c>
      <c r="I1211" s="165">
        <v>58.463999999999999</v>
      </c>
      <c r="J1211" s="158">
        <v>544643</v>
      </c>
      <c r="K1211" s="158">
        <f t="shared" si="199"/>
        <v>31842008.351999998</v>
      </c>
      <c r="L1211" s="158"/>
      <c r="M1211" s="158"/>
      <c r="N1211" s="158">
        <f t="shared" ref="N1211:N1222" si="202">+J1211*I1211</f>
        <v>31842008.351999998</v>
      </c>
      <c r="O1211" s="158"/>
      <c r="P1211" s="156"/>
    </row>
    <row r="1212" spans="1:17" s="16" customFormat="1" x14ac:dyDescent="0.2">
      <c r="A1212" t="s">
        <v>1681</v>
      </c>
      <c r="B1212" t="s">
        <v>1401</v>
      </c>
      <c r="C1212" s="16" t="s">
        <v>1723</v>
      </c>
      <c r="D1212" s="142" t="s">
        <v>1834</v>
      </c>
      <c r="E1212" s="143" t="s">
        <v>124</v>
      </c>
      <c r="F1212" s="164" t="s">
        <v>125</v>
      </c>
      <c r="G1212" s="143" t="s">
        <v>107</v>
      </c>
      <c r="H1212" s="165">
        <v>2.4E-2</v>
      </c>
      <c r="I1212" s="165">
        <v>1.3823999999999999E-2</v>
      </c>
      <c r="J1212" s="158">
        <v>9500000</v>
      </c>
      <c r="K1212" s="158">
        <f t="shared" si="199"/>
        <v>131328</v>
      </c>
      <c r="L1212" s="158"/>
      <c r="M1212" s="158"/>
      <c r="N1212" s="158">
        <f t="shared" si="202"/>
        <v>131328</v>
      </c>
      <c r="O1212" s="158"/>
      <c r="P1212" s="156"/>
    </row>
    <row r="1213" spans="1:17" s="16" customFormat="1" x14ac:dyDescent="0.2">
      <c r="A1213" t="s">
        <v>1681</v>
      </c>
      <c r="B1213" t="s">
        <v>1401</v>
      </c>
      <c r="C1213" s="16" t="s">
        <v>1723</v>
      </c>
      <c r="D1213" s="142" t="s">
        <v>1835</v>
      </c>
      <c r="E1213" s="143" t="s">
        <v>1185</v>
      </c>
      <c r="F1213" s="164" t="s">
        <v>1186</v>
      </c>
      <c r="G1213" s="143" t="s">
        <v>107</v>
      </c>
      <c r="H1213" s="165">
        <v>0.1</v>
      </c>
      <c r="I1213" s="165">
        <v>5.7599999999999998E-2</v>
      </c>
      <c r="J1213" s="158">
        <v>7812501</v>
      </c>
      <c r="K1213" s="158">
        <f t="shared" si="199"/>
        <v>450000.0576</v>
      </c>
      <c r="L1213" s="158"/>
      <c r="M1213" s="158"/>
      <c r="N1213" s="158">
        <f t="shared" si="202"/>
        <v>450000.0576</v>
      </c>
      <c r="O1213" s="158"/>
      <c r="P1213" s="156"/>
    </row>
    <row r="1214" spans="1:17" s="16" customFormat="1" x14ac:dyDescent="0.2">
      <c r="A1214" t="s">
        <v>1681</v>
      </c>
      <c r="B1214" t="s">
        <v>1401</v>
      </c>
      <c r="C1214" s="16" t="s">
        <v>1723</v>
      </c>
      <c r="D1214" s="142" t="s">
        <v>1836</v>
      </c>
      <c r="E1214" s="143" t="s">
        <v>693</v>
      </c>
      <c r="F1214" s="164" t="s">
        <v>694</v>
      </c>
      <c r="G1214" s="143" t="s">
        <v>107</v>
      </c>
      <c r="H1214" s="165">
        <v>0.12</v>
      </c>
      <c r="I1214" s="165">
        <v>6.9120000000000001E-2</v>
      </c>
      <c r="J1214" s="158">
        <v>11250000</v>
      </c>
      <c r="K1214" s="158">
        <f t="shared" si="199"/>
        <v>777600</v>
      </c>
      <c r="L1214" s="158"/>
      <c r="M1214" s="158"/>
      <c r="N1214" s="158">
        <f t="shared" si="202"/>
        <v>777600</v>
      </c>
      <c r="O1214" s="158"/>
      <c r="P1214" s="156"/>
    </row>
    <row r="1215" spans="1:17" s="16" customFormat="1" ht="24" x14ac:dyDescent="0.2">
      <c r="A1215" t="s">
        <v>1681</v>
      </c>
      <c r="B1215" t="s">
        <v>1401</v>
      </c>
      <c r="C1215" s="16" t="s">
        <v>1723</v>
      </c>
      <c r="D1215" s="142" t="s">
        <v>1837</v>
      </c>
      <c r="E1215" s="143" t="s">
        <v>1838</v>
      </c>
      <c r="F1215" s="164" t="s">
        <v>1839</v>
      </c>
      <c r="G1215" s="143" t="s">
        <v>420</v>
      </c>
      <c r="H1215" s="165">
        <v>0.6</v>
      </c>
      <c r="I1215" s="165">
        <v>0.34560000000000002</v>
      </c>
      <c r="J1215" s="158">
        <v>4107143</v>
      </c>
      <c r="K1215" s="158">
        <f t="shared" si="199"/>
        <v>1419428.6208000001</v>
      </c>
      <c r="L1215" s="158"/>
      <c r="M1215" s="158"/>
      <c r="N1215" s="158">
        <f t="shared" si="202"/>
        <v>1419428.6208000001</v>
      </c>
      <c r="O1215" s="158"/>
      <c r="P1215" s="156"/>
    </row>
    <row r="1216" spans="1:17" s="16" customFormat="1" ht="24" x14ac:dyDescent="0.2">
      <c r="A1216" t="s">
        <v>1681</v>
      </c>
      <c r="B1216" t="s">
        <v>1401</v>
      </c>
      <c r="C1216" s="16" t="s">
        <v>1723</v>
      </c>
      <c r="D1216" s="142" t="s">
        <v>1840</v>
      </c>
      <c r="E1216" s="143" t="s">
        <v>1776</v>
      </c>
      <c r="F1216" s="164" t="s">
        <v>1777</v>
      </c>
      <c r="G1216" s="143" t="s">
        <v>420</v>
      </c>
      <c r="H1216" s="165">
        <v>1.83</v>
      </c>
      <c r="I1216" s="165">
        <v>1.0541</v>
      </c>
      <c r="J1216" s="158">
        <v>4107143</v>
      </c>
      <c r="K1216" s="158">
        <f t="shared" si="199"/>
        <v>4329339.4363000002</v>
      </c>
      <c r="L1216" s="158"/>
      <c r="M1216" s="158"/>
      <c r="N1216" s="158">
        <f t="shared" si="202"/>
        <v>4329339.4363000002</v>
      </c>
      <c r="O1216" s="158"/>
      <c r="P1216" s="156"/>
    </row>
    <row r="1217" spans="1:17" s="16" customFormat="1" x14ac:dyDescent="0.2">
      <c r="A1217" t="s">
        <v>1681</v>
      </c>
      <c r="B1217" t="s">
        <v>1401</v>
      </c>
      <c r="C1217" s="16" t="s">
        <v>1723</v>
      </c>
      <c r="D1217" s="142" t="s">
        <v>1841</v>
      </c>
      <c r="E1217" s="143" t="s">
        <v>1808</v>
      </c>
      <c r="F1217" s="164" t="s">
        <v>1809</v>
      </c>
      <c r="G1217" s="143" t="s">
        <v>38</v>
      </c>
      <c r="H1217" s="165">
        <v>97.4</v>
      </c>
      <c r="I1217" s="165">
        <v>56.102400000000003</v>
      </c>
      <c r="J1217" s="158">
        <v>102678</v>
      </c>
      <c r="K1217" s="158">
        <f t="shared" si="199"/>
        <v>5760482.2272000005</v>
      </c>
      <c r="L1217" s="158"/>
      <c r="M1217" s="158"/>
      <c r="N1217" s="158">
        <f t="shared" si="202"/>
        <v>5760482.2272000005</v>
      </c>
      <c r="O1217" s="158"/>
      <c r="P1217" s="156"/>
    </row>
    <row r="1218" spans="1:17" s="1" customFormat="1" x14ac:dyDescent="0.2">
      <c r="A1218" t="s">
        <v>1681</v>
      </c>
      <c r="B1218" t="s">
        <v>1401</v>
      </c>
      <c r="C1218" s="16" t="s">
        <v>1723</v>
      </c>
      <c r="D1218" s="130" t="s">
        <v>375</v>
      </c>
      <c r="E1218" s="131" t="s">
        <v>1781</v>
      </c>
      <c r="F1218" s="131" t="s">
        <v>1810</v>
      </c>
      <c r="G1218" s="132" t="s">
        <v>107</v>
      </c>
      <c r="H1218" s="159">
        <v>0.34891</v>
      </c>
      <c r="I1218" s="159">
        <f t="shared" ref="I1218:I1222" si="203">+H1218</f>
        <v>0.34891</v>
      </c>
      <c r="J1218" s="166">
        <v>7812501</v>
      </c>
      <c r="K1218" s="166">
        <f t="shared" si="199"/>
        <v>2725859.7239100002</v>
      </c>
      <c r="L1218" s="158"/>
      <c r="M1218" s="158"/>
      <c r="N1218" s="166">
        <f t="shared" si="202"/>
        <v>2725859.7239100002</v>
      </c>
      <c r="O1218" s="158"/>
      <c r="P1218" s="153"/>
    </row>
    <row r="1219" spans="1:17" s="1" customFormat="1" x14ac:dyDescent="0.2">
      <c r="A1219" t="s">
        <v>1681</v>
      </c>
      <c r="B1219" t="s">
        <v>1401</v>
      </c>
      <c r="C1219" s="16" t="s">
        <v>1723</v>
      </c>
      <c r="D1219" s="130" t="s">
        <v>379</v>
      </c>
      <c r="E1219" s="131" t="s">
        <v>1781</v>
      </c>
      <c r="F1219" s="131" t="s">
        <v>1782</v>
      </c>
      <c r="G1219" s="132" t="s">
        <v>107</v>
      </c>
      <c r="H1219" s="159">
        <v>5.4236000000000004</v>
      </c>
      <c r="I1219" s="159">
        <f t="shared" si="203"/>
        <v>5.4236000000000004</v>
      </c>
      <c r="J1219" s="166">
        <v>8482143</v>
      </c>
      <c r="K1219" s="166">
        <f t="shared" si="199"/>
        <v>46003750.774800003</v>
      </c>
      <c r="L1219" s="158"/>
      <c r="M1219" s="158"/>
      <c r="N1219" s="166">
        <f t="shared" si="202"/>
        <v>46003750.774800003</v>
      </c>
      <c r="O1219" s="158"/>
      <c r="P1219" s="153"/>
    </row>
    <row r="1220" spans="1:17" s="1" customFormat="1" x14ac:dyDescent="0.2">
      <c r="A1220" t="s">
        <v>1681</v>
      </c>
      <c r="B1220" t="s">
        <v>1401</v>
      </c>
      <c r="C1220" s="16" t="s">
        <v>1723</v>
      </c>
      <c r="D1220" s="130" t="s">
        <v>385</v>
      </c>
      <c r="E1220" s="131" t="s">
        <v>1781</v>
      </c>
      <c r="F1220" s="131" t="s">
        <v>1842</v>
      </c>
      <c r="G1220" s="132" t="s">
        <v>107</v>
      </c>
      <c r="H1220" s="159">
        <v>0.11186</v>
      </c>
      <c r="I1220" s="159">
        <f t="shared" si="203"/>
        <v>0.11186</v>
      </c>
      <c r="J1220" s="166">
        <v>9375000</v>
      </c>
      <c r="K1220" s="166">
        <f t="shared" si="199"/>
        <v>1048687.5</v>
      </c>
      <c r="L1220" s="158"/>
      <c r="M1220" s="158"/>
      <c r="N1220" s="166">
        <f t="shared" si="202"/>
        <v>1048687.5</v>
      </c>
      <c r="O1220" s="158"/>
      <c r="P1220" s="153"/>
    </row>
    <row r="1221" spans="1:17" s="1" customFormat="1" x14ac:dyDescent="0.2">
      <c r="A1221" t="s">
        <v>1681</v>
      </c>
      <c r="B1221" t="s">
        <v>1401</v>
      </c>
      <c r="C1221" s="16" t="s">
        <v>1723</v>
      </c>
      <c r="D1221" s="130" t="s">
        <v>392</v>
      </c>
      <c r="E1221" s="131" t="s">
        <v>1781</v>
      </c>
      <c r="F1221" s="131" t="s">
        <v>1786</v>
      </c>
      <c r="G1221" s="132" t="s">
        <v>107</v>
      </c>
      <c r="H1221" s="159">
        <v>0.97067000000000003</v>
      </c>
      <c r="I1221" s="159">
        <f t="shared" si="203"/>
        <v>0.97067000000000003</v>
      </c>
      <c r="J1221" s="166">
        <v>8019225</v>
      </c>
      <c r="K1221" s="166">
        <f t="shared" si="199"/>
        <v>7784021.1307500005</v>
      </c>
      <c r="L1221" s="158"/>
      <c r="M1221" s="158"/>
      <c r="N1221" s="166">
        <f t="shared" si="202"/>
        <v>7784021.1307500005</v>
      </c>
      <c r="O1221" s="158"/>
      <c r="P1221" s="153"/>
    </row>
    <row r="1222" spans="1:17" s="1" customFormat="1" x14ac:dyDescent="0.2">
      <c r="A1222" t="s">
        <v>1681</v>
      </c>
      <c r="B1222" t="s">
        <v>1401</v>
      </c>
      <c r="C1222" s="16" t="s">
        <v>1723</v>
      </c>
      <c r="D1222" s="130" t="s">
        <v>399</v>
      </c>
      <c r="E1222" s="131" t="s">
        <v>1843</v>
      </c>
      <c r="F1222" s="131" t="s">
        <v>1844</v>
      </c>
      <c r="G1222" s="132" t="s">
        <v>42</v>
      </c>
      <c r="H1222" s="159">
        <v>2700</v>
      </c>
      <c r="I1222" s="159">
        <f t="shared" si="203"/>
        <v>2700</v>
      </c>
      <c r="J1222" s="166">
        <v>196.42857142857142</v>
      </c>
      <c r="K1222" s="166">
        <f t="shared" si="199"/>
        <v>530357.14285714284</v>
      </c>
      <c r="L1222" s="158"/>
      <c r="M1222" s="158"/>
      <c r="N1222" s="166">
        <f t="shared" si="202"/>
        <v>530357.14285714284</v>
      </c>
      <c r="O1222" s="158"/>
      <c r="P1222" s="153"/>
    </row>
    <row r="1223" spans="1:17" ht="15.75" x14ac:dyDescent="0.25">
      <c r="A1223" t="s">
        <v>1681</v>
      </c>
      <c r="B1223" t="s">
        <v>1401</v>
      </c>
      <c r="D1223" s="151" t="s">
        <v>1845</v>
      </c>
      <c r="E1223" s="128"/>
      <c r="F1223" s="163"/>
      <c r="G1223" s="128"/>
      <c r="H1223" s="128"/>
      <c r="I1223" s="128"/>
      <c r="J1223" s="158"/>
      <c r="K1223" s="158"/>
      <c r="L1223" s="158"/>
      <c r="M1223" s="158"/>
      <c r="N1223" s="158"/>
      <c r="O1223" s="158"/>
      <c r="P1223" s="152"/>
    </row>
    <row r="1224" spans="1:17" s="1" customFormat="1" ht="39" customHeight="1" x14ac:dyDescent="0.2">
      <c r="A1224" t="s">
        <v>1681</v>
      </c>
      <c r="B1224" t="s">
        <v>1401</v>
      </c>
      <c r="C1224" s="1" t="s">
        <v>1683</v>
      </c>
      <c r="D1224" s="130" t="s">
        <v>406</v>
      </c>
      <c r="E1224" s="131" t="s">
        <v>1826</v>
      </c>
      <c r="F1224" s="131" t="s">
        <v>1827</v>
      </c>
      <c r="G1224" s="132" t="s">
        <v>1692</v>
      </c>
      <c r="H1224" s="159">
        <v>3.0049999999999999</v>
      </c>
      <c r="I1224" s="159"/>
      <c r="J1224" s="158"/>
      <c r="K1224" s="158"/>
      <c r="L1224" s="158"/>
      <c r="M1224" s="158"/>
      <c r="N1224" s="158"/>
      <c r="O1224" s="158"/>
      <c r="P1224" s="153"/>
      <c r="Q1224" s="35"/>
    </row>
    <row r="1225" spans="1:17" s="14" customFormat="1" x14ac:dyDescent="0.2">
      <c r="A1225" t="s">
        <v>1681</v>
      </c>
      <c r="B1225" t="s">
        <v>1401</v>
      </c>
      <c r="C1225" s="14" t="s">
        <v>24</v>
      </c>
      <c r="D1225" s="134" t="s">
        <v>407</v>
      </c>
      <c r="E1225" s="135" t="s">
        <v>18</v>
      </c>
      <c r="F1225" s="160" t="s">
        <v>23</v>
      </c>
      <c r="G1225" s="135" t="s">
        <v>24</v>
      </c>
      <c r="H1225" s="158">
        <v>758.74</v>
      </c>
      <c r="I1225" s="158">
        <v>2280.0137</v>
      </c>
      <c r="J1225" s="158">
        <v>22914.53</v>
      </c>
      <c r="K1225" s="158">
        <f t="shared" ref="K1225:K1246" si="204">+J1225*I1225</f>
        <v>52245442.329060994</v>
      </c>
      <c r="L1225" s="158">
        <f t="shared" ref="L1225:L1226" si="205">+J1225*I1225</f>
        <v>52245442.329060994</v>
      </c>
      <c r="M1225" s="158"/>
      <c r="N1225" s="158"/>
      <c r="O1225" s="158"/>
      <c r="P1225" s="154"/>
    </row>
    <row r="1226" spans="1:17" s="16" customFormat="1" x14ac:dyDescent="0.2">
      <c r="A1226" t="s">
        <v>1681</v>
      </c>
      <c r="B1226" t="s">
        <v>1401</v>
      </c>
      <c r="C1226" s="14" t="s">
        <v>24</v>
      </c>
      <c r="D1226" s="134" t="s">
        <v>408</v>
      </c>
      <c r="E1226" s="135" t="s">
        <v>52</v>
      </c>
      <c r="F1226" s="160" t="s">
        <v>1687</v>
      </c>
      <c r="G1226" s="135" t="s">
        <v>24</v>
      </c>
      <c r="H1226" s="158">
        <v>41.11</v>
      </c>
      <c r="I1226" s="158">
        <v>123.5356</v>
      </c>
      <c r="J1226" s="158"/>
      <c r="K1226" s="158">
        <f t="shared" si="204"/>
        <v>0</v>
      </c>
      <c r="L1226" s="158">
        <f t="shared" si="205"/>
        <v>0</v>
      </c>
      <c r="M1226" s="158"/>
      <c r="N1226" s="158"/>
      <c r="O1226" s="158"/>
      <c r="P1226" s="156"/>
    </row>
    <row r="1227" spans="1:17" s="15" customFormat="1" x14ac:dyDescent="0.2">
      <c r="A1227" t="s">
        <v>1681</v>
      </c>
      <c r="B1227" t="s">
        <v>1401</v>
      </c>
      <c r="C1227" s="124" t="s">
        <v>28</v>
      </c>
      <c r="D1227" s="138" t="s">
        <v>409</v>
      </c>
      <c r="E1227" s="139" t="s">
        <v>262</v>
      </c>
      <c r="F1227" s="161" t="s">
        <v>263</v>
      </c>
      <c r="G1227" s="139" t="s">
        <v>28</v>
      </c>
      <c r="H1227" s="162">
        <v>0.27</v>
      </c>
      <c r="I1227" s="162">
        <v>0.81135000000000002</v>
      </c>
      <c r="J1227" s="158">
        <v>140201</v>
      </c>
      <c r="K1227" s="158">
        <f t="shared" si="204"/>
        <v>113752.08135000001</v>
      </c>
      <c r="L1227" s="158"/>
      <c r="M1227" s="158">
        <f t="shared" ref="M1227:M1233" si="206">+J1227*I1227</f>
        <v>113752.08135000001</v>
      </c>
      <c r="N1227" s="158"/>
      <c r="O1227" s="158"/>
      <c r="P1227" s="155"/>
    </row>
    <row r="1228" spans="1:17" s="15" customFormat="1" x14ac:dyDescent="0.2">
      <c r="A1228" t="s">
        <v>1681</v>
      </c>
      <c r="B1228" t="s">
        <v>1401</v>
      </c>
      <c r="C1228" s="124" t="s">
        <v>28</v>
      </c>
      <c r="D1228" s="138" t="s">
        <v>410</v>
      </c>
      <c r="E1228" s="139" t="s">
        <v>1743</v>
      </c>
      <c r="F1228" s="161" t="s">
        <v>1744</v>
      </c>
      <c r="G1228" s="139" t="s">
        <v>28</v>
      </c>
      <c r="H1228" s="162">
        <v>38.32</v>
      </c>
      <c r="I1228" s="162">
        <v>115.1516</v>
      </c>
      <c r="J1228" s="158">
        <v>965</v>
      </c>
      <c r="K1228" s="158">
        <f t="shared" si="204"/>
        <v>111121.29400000001</v>
      </c>
      <c r="L1228" s="158"/>
      <c r="M1228" s="158">
        <f t="shared" si="206"/>
        <v>111121.29400000001</v>
      </c>
      <c r="N1228" s="158"/>
      <c r="O1228" s="158"/>
      <c r="P1228" s="155"/>
    </row>
    <row r="1229" spans="1:17" s="15" customFormat="1" x14ac:dyDescent="0.2">
      <c r="A1229" t="s">
        <v>1681</v>
      </c>
      <c r="B1229" t="s">
        <v>1401</v>
      </c>
      <c r="C1229" s="124" t="s">
        <v>28</v>
      </c>
      <c r="D1229" s="138" t="s">
        <v>411</v>
      </c>
      <c r="E1229" s="139" t="s">
        <v>1079</v>
      </c>
      <c r="F1229" s="161" t="s">
        <v>1080</v>
      </c>
      <c r="G1229" s="139" t="s">
        <v>28</v>
      </c>
      <c r="H1229" s="162">
        <v>38.68</v>
      </c>
      <c r="I1229" s="162">
        <v>116.2334</v>
      </c>
      <c r="J1229" s="158">
        <v>132706</v>
      </c>
      <c r="K1229" s="158">
        <f t="shared" si="204"/>
        <v>15424869.580400001</v>
      </c>
      <c r="L1229" s="158"/>
      <c r="M1229" s="158">
        <f t="shared" si="206"/>
        <v>15424869.580400001</v>
      </c>
      <c r="N1229" s="158"/>
      <c r="O1229" s="158"/>
      <c r="P1229" s="155"/>
    </row>
    <row r="1230" spans="1:17" s="15" customFormat="1" ht="24" x14ac:dyDescent="0.2">
      <c r="A1230" t="s">
        <v>1681</v>
      </c>
      <c r="B1230" t="s">
        <v>1401</v>
      </c>
      <c r="C1230" s="124" t="s">
        <v>28</v>
      </c>
      <c r="D1230" s="138" t="s">
        <v>1846</v>
      </c>
      <c r="E1230" s="139" t="s">
        <v>876</v>
      </c>
      <c r="F1230" s="161" t="s">
        <v>877</v>
      </c>
      <c r="G1230" s="139" t="s">
        <v>28</v>
      </c>
      <c r="H1230" s="162">
        <v>0.94</v>
      </c>
      <c r="I1230" s="162">
        <v>2.8247</v>
      </c>
      <c r="J1230" s="158">
        <v>239461</v>
      </c>
      <c r="K1230" s="158">
        <f t="shared" si="204"/>
        <v>676405.48670000001</v>
      </c>
      <c r="L1230" s="158"/>
      <c r="M1230" s="158">
        <f t="shared" si="206"/>
        <v>676405.48670000001</v>
      </c>
      <c r="N1230" s="158"/>
      <c r="O1230" s="158"/>
      <c r="P1230" s="155"/>
    </row>
    <row r="1231" spans="1:17" s="15" customFormat="1" x14ac:dyDescent="0.2">
      <c r="A1231" t="s">
        <v>1681</v>
      </c>
      <c r="B1231" t="s">
        <v>1401</v>
      </c>
      <c r="C1231" s="124" t="s">
        <v>28</v>
      </c>
      <c r="D1231" s="138" t="s">
        <v>1847</v>
      </c>
      <c r="E1231" s="139" t="s">
        <v>1767</v>
      </c>
      <c r="F1231" s="161" t="s">
        <v>1768</v>
      </c>
      <c r="G1231" s="139" t="s">
        <v>28</v>
      </c>
      <c r="H1231" s="162">
        <v>1.51</v>
      </c>
      <c r="I1231" s="162">
        <v>4.5374999999999996</v>
      </c>
      <c r="J1231" s="158">
        <v>1349</v>
      </c>
      <c r="K1231" s="158">
        <f t="shared" si="204"/>
        <v>6121.0874999999996</v>
      </c>
      <c r="L1231" s="158"/>
      <c r="M1231" s="158">
        <f t="shared" si="206"/>
        <v>6121.0874999999996</v>
      </c>
      <c r="N1231" s="158"/>
      <c r="O1231" s="158"/>
      <c r="P1231" s="155"/>
    </row>
    <row r="1232" spans="1:17" s="15" customFormat="1" x14ac:dyDescent="0.2">
      <c r="A1232" t="s">
        <v>1681</v>
      </c>
      <c r="B1232" t="s">
        <v>1401</v>
      </c>
      <c r="C1232" s="124" t="s">
        <v>28</v>
      </c>
      <c r="D1232" s="138" t="s">
        <v>1848</v>
      </c>
      <c r="E1232" s="139" t="s">
        <v>98</v>
      </c>
      <c r="F1232" s="161" t="s">
        <v>99</v>
      </c>
      <c r="G1232" s="139" t="s">
        <v>28</v>
      </c>
      <c r="H1232" s="162">
        <v>99.96</v>
      </c>
      <c r="I1232" s="162">
        <v>300.37979999999999</v>
      </c>
      <c r="J1232" s="158">
        <v>6858</v>
      </c>
      <c r="K1232" s="158">
        <f t="shared" si="204"/>
        <v>2060004.6683999998</v>
      </c>
      <c r="L1232" s="158"/>
      <c r="M1232" s="158">
        <f t="shared" si="206"/>
        <v>2060004.6683999998</v>
      </c>
      <c r="N1232" s="158"/>
      <c r="O1232" s="158"/>
      <c r="P1232" s="155"/>
    </row>
    <row r="1233" spans="1:17" s="15" customFormat="1" x14ac:dyDescent="0.2">
      <c r="A1233" t="s">
        <v>1681</v>
      </c>
      <c r="B1233" t="s">
        <v>1401</v>
      </c>
      <c r="C1233" s="124" t="s">
        <v>28</v>
      </c>
      <c r="D1233" s="138" t="s">
        <v>1849</v>
      </c>
      <c r="E1233" s="139" t="s">
        <v>30</v>
      </c>
      <c r="F1233" s="161" t="s">
        <v>31</v>
      </c>
      <c r="G1233" s="139" t="s">
        <v>28</v>
      </c>
      <c r="H1233" s="162">
        <v>1.22</v>
      </c>
      <c r="I1233" s="162">
        <v>3.6661000000000001</v>
      </c>
      <c r="J1233" s="158">
        <v>106655</v>
      </c>
      <c r="K1233" s="158">
        <f t="shared" si="204"/>
        <v>391007.89550000004</v>
      </c>
      <c r="L1233" s="158"/>
      <c r="M1233" s="158">
        <f t="shared" si="206"/>
        <v>391007.89550000004</v>
      </c>
      <c r="N1233" s="158"/>
      <c r="O1233" s="158"/>
      <c r="P1233" s="155"/>
    </row>
    <row r="1234" spans="1:17" s="16" customFormat="1" x14ac:dyDescent="0.2">
      <c r="A1234" t="s">
        <v>1681</v>
      </c>
      <c r="B1234" t="s">
        <v>1401</v>
      </c>
      <c r="C1234" s="16" t="s">
        <v>1723</v>
      </c>
      <c r="D1234" s="142" t="s">
        <v>1850</v>
      </c>
      <c r="E1234" s="143" t="s">
        <v>1797</v>
      </c>
      <c r="F1234" s="164" t="s">
        <v>1798</v>
      </c>
      <c r="G1234" s="143" t="s">
        <v>420</v>
      </c>
      <c r="H1234" s="165">
        <v>101.5</v>
      </c>
      <c r="I1234" s="165">
        <v>305.00749999999999</v>
      </c>
      <c r="J1234" s="158">
        <v>544643</v>
      </c>
      <c r="K1234" s="158">
        <f t="shared" si="204"/>
        <v>166120199.82249999</v>
      </c>
      <c r="L1234" s="158"/>
      <c r="M1234" s="158"/>
      <c r="N1234" s="158">
        <f t="shared" ref="N1234:N1246" si="207">+J1234*I1234</f>
        <v>166120199.82249999</v>
      </c>
      <c r="O1234" s="158"/>
      <c r="P1234" s="156"/>
    </row>
    <row r="1235" spans="1:17" s="16" customFormat="1" x14ac:dyDescent="0.2">
      <c r="A1235" t="s">
        <v>1681</v>
      </c>
      <c r="B1235" t="s">
        <v>1401</v>
      </c>
      <c r="C1235" s="16" t="s">
        <v>1723</v>
      </c>
      <c r="D1235" s="142" t="s">
        <v>1851</v>
      </c>
      <c r="E1235" s="143" t="s">
        <v>124</v>
      </c>
      <c r="F1235" s="164" t="s">
        <v>125</v>
      </c>
      <c r="G1235" s="143" t="s">
        <v>107</v>
      </c>
      <c r="H1235" s="165">
        <v>2.4E-2</v>
      </c>
      <c r="I1235" s="165">
        <v>7.2120000000000004E-2</v>
      </c>
      <c r="J1235" s="158">
        <v>9500000</v>
      </c>
      <c r="K1235" s="158">
        <f t="shared" si="204"/>
        <v>685140</v>
      </c>
      <c r="L1235" s="158"/>
      <c r="M1235" s="158"/>
      <c r="N1235" s="158">
        <f t="shared" si="207"/>
        <v>685140</v>
      </c>
      <c r="O1235" s="158"/>
      <c r="P1235" s="156"/>
    </row>
    <row r="1236" spans="1:17" s="16" customFormat="1" x14ac:dyDescent="0.2">
      <c r="A1236" t="s">
        <v>1681</v>
      </c>
      <c r="B1236" t="s">
        <v>1401</v>
      </c>
      <c r="C1236" s="16" t="s">
        <v>1723</v>
      </c>
      <c r="D1236" s="142" t="s">
        <v>1852</v>
      </c>
      <c r="E1236" s="143" t="s">
        <v>1185</v>
      </c>
      <c r="F1236" s="164" t="s">
        <v>1186</v>
      </c>
      <c r="G1236" s="143" t="s">
        <v>107</v>
      </c>
      <c r="H1236" s="165">
        <v>0.1</v>
      </c>
      <c r="I1236" s="165">
        <v>0.30049999999999999</v>
      </c>
      <c r="J1236" s="158">
        <v>7812501</v>
      </c>
      <c r="K1236" s="158">
        <f t="shared" si="204"/>
        <v>2347656.5504999999</v>
      </c>
      <c r="L1236" s="158"/>
      <c r="M1236" s="158"/>
      <c r="N1236" s="158">
        <f t="shared" si="207"/>
        <v>2347656.5504999999</v>
      </c>
      <c r="O1236" s="158"/>
      <c r="P1236" s="156"/>
    </row>
    <row r="1237" spans="1:17" s="16" customFormat="1" x14ac:dyDescent="0.2">
      <c r="A1237" t="s">
        <v>1681</v>
      </c>
      <c r="B1237" t="s">
        <v>1401</v>
      </c>
      <c r="C1237" s="16" t="s">
        <v>1723</v>
      </c>
      <c r="D1237" s="142" t="s">
        <v>1853</v>
      </c>
      <c r="E1237" s="143" t="s">
        <v>693</v>
      </c>
      <c r="F1237" s="164" t="s">
        <v>694</v>
      </c>
      <c r="G1237" s="143" t="s">
        <v>107</v>
      </c>
      <c r="H1237" s="165">
        <v>0.12</v>
      </c>
      <c r="I1237" s="165">
        <v>0.36059999999999998</v>
      </c>
      <c r="J1237" s="158">
        <v>11250000</v>
      </c>
      <c r="K1237" s="158">
        <f t="shared" si="204"/>
        <v>4056749.9999999995</v>
      </c>
      <c r="L1237" s="158"/>
      <c r="M1237" s="158"/>
      <c r="N1237" s="158">
        <f t="shared" si="207"/>
        <v>4056749.9999999995</v>
      </c>
      <c r="O1237" s="158"/>
      <c r="P1237" s="156"/>
    </row>
    <row r="1238" spans="1:17" s="16" customFormat="1" ht="24" x14ac:dyDescent="0.2">
      <c r="A1238" t="s">
        <v>1681</v>
      </c>
      <c r="B1238" t="s">
        <v>1401</v>
      </c>
      <c r="C1238" s="16" t="s">
        <v>1723</v>
      </c>
      <c r="D1238" s="142" t="s">
        <v>1854</v>
      </c>
      <c r="E1238" s="143" t="s">
        <v>1838</v>
      </c>
      <c r="F1238" s="164" t="s">
        <v>1839</v>
      </c>
      <c r="G1238" s="143" t="s">
        <v>420</v>
      </c>
      <c r="H1238" s="165">
        <v>0.6</v>
      </c>
      <c r="I1238" s="165">
        <v>1.8029999999999999</v>
      </c>
      <c r="J1238" s="158">
        <v>4107143</v>
      </c>
      <c r="K1238" s="158">
        <f t="shared" si="204"/>
        <v>7405178.8289999999</v>
      </c>
      <c r="L1238" s="158"/>
      <c r="M1238" s="158"/>
      <c r="N1238" s="158">
        <f t="shared" si="207"/>
        <v>7405178.8289999999</v>
      </c>
      <c r="O1238" s="158"/>
      <c r="P1238" s="156"/>
    </row>
    <row r="1239" spans="1:17" s="16" customFormat="1" ht="24" x14ac:dyDescent="0.2">
      <c r="A1239" t="s">
        <v>1681</v>
      </c>
      <c r="B1239" t="s">
        <v>1401</v>
      </c>
      <c r="C1239" s="16" t="s">
        <v>1723</v>
      </c>
      <c r="D1239" s="142" t="s">
        <v>1855</v>
      </c>
      <c r="E1239" s="143" t="s">
        <v>1776</v>
      </c>
      <c r="F1239" s="164" t="s">
        <v>1777</v>
      </c>
      <c r="G1239" s="143" t="s">
        <v>420</v>
      </c>
      <c r="H1239" s="165">
        <v>1.83</v>
      </c>
      <c r="I1239" s="165">
        <v>5.4991000000000003</v>
      </c>
      <c r="J1239" s="158">
        <v>4107143</v>
      </c>
      <c r="K1239" s="158">
        <f t="shared" si="204"/>
        <v>22585590.0713</v>
      </c>
      <c r="L1239" s="158"/>
      <c r="M1239" s="158"/>
      <c r="N1239" s="158">
        <f t="shared" si="207"/>
        <v>22585590.0713</v>
      </c>
      <c r="O1239" s="158"/>
      <c r="P1239" s="156"/>
    </row>
    <row r="1240" spans="1:17" s="16" customFormat="1" x14ac:dyDescent="0.2">
      <c r="A1240" t="s">
        <v>1681</v>
      </c>
      <c r="B1240" t="s">
        <v>1401</v>
      </c>
      <c r="C1240" s="16" t="s">
        <v>1723</v>
      </c>
      <c r="D1240" s="142" t="s">
        <v>1856</v>
      </c>
      <c r="E1240" s="143" t="s">
        <v>1808</v>
      </c>
      <c r="F1240" s="164" t="s">
        <v>1809</v>
      </c>
      <c r="G1240" s="143" t="s">
        <v>38</v>
      </c>
      <c r="H1240" s="165">
        <v>97.4</v>
      </c>
      <c r="I1240" s="165">
        <v>292.68700000000001</v>
      </c>
      <c r="J1240" s="158">
        <v>102678</v>
      </c>
      <c r="K1240" s="158">
        <f t="shared" si="204"/>
        <v>30052515.786000002</v>
      </c>
      <c r="L1240" s="158"/>
      <c r="M1240" s="158"/>
      <c r="N1240" s="158">
        <f t="shared" si="207"/>
        <v>30052515.786000002</v>
      </c>
      <c r="O1240" s="158"/>
      <c r="P1240" s="156"/>
    </row>
    <row r="1241" spans="1:17" s="1" customFormat="1" x14ac:dyDescent="0.2">
      <c r="A1241" t="s">
        <v>1681</v>
      </c>
      <c r="B1241" t="s">
        <v>1401</v>
      </c>
      <c r="C1241" s="16" t="s">
        <v>1723</v>
      </c>
      <c r="D1241" s="130" t="s">
        <v>413</v>
      </c>
      <c r="E1241" s="131" t="s">
        <v>1781</v>
      </c>
      <c r="F1241" s="131" t="s">
        <v>1810</v>
      </c>
      <c r="G1241" s="132" t="s">
        <v>107</v>
      </c>
      <c r="H1241" s="159">
        <v>1.7738</v>
      </c>
      <c r="I1241" s="159">
        <f t="shared" ref="I1241:I1246" si="208">+H1241</f>
        <v>1.7738</v>
      </c>
      <c r="J1241" s="166">
        <v>7812501</v>
      </c>
      <c r="K1241" s="166">
        <f t="shared" si="204"/>
        <v>13857814.273800001</v>
      </c>
      <c r="L1241" s="158"/>
      <c r="M1241" s="158"/>
      <c r="N1241" s="166">
        <f t="shared" si="207"/>
        <v>13857814.273800001</v>
      </c>
      <c r="O1241" s="158"/>
      <c r="P1241" s="153"/>
    </row>
    <row r="1242" spans="1:17" s="1" customFormat="1" x14ac:dyDescent="0.2">
      <c r="A1242" t="s">
        <v>1681</v>
      </c>
      <c r="B1242" t="s">
        <v>1401</v>
      </c>
      <c r="C1242" s="16" t="s">
        <v>1723</v>
      </c>
      <c r="D1242" s="130" t="s">
        <v>423</v>
      </c>
      <c r="E1242" s="131" t="s">
        <v>1781</v>
      </c>
      <c r="F1242" s="131" t="s">
        <v>1782</v>
      </c>
      <c r="G1242" s="132" t="s">
        <v>107</v>
      </c>
      <c r="H1242" s="159">
        <v>29.6081</v>
      </c>
      <c r="I1242" s="159">
        <f t="shared" si="208"/>
        <v>29.6081</v>
      </c>
      <c r="J1242" s="166">
        <v>8482143</v>
      </c>
      <c r="K1242" s="166">
        <f t="shared" si="204"/>
        <v>251140138.15830001</v>
      </c>
      <c r="L1242" s="158"/>
      <c r="M1242" s="158"/>
      <c r="N1242" s="166">
        <f t="shared" si="207"/>
        <v>251140138.15830001</v>
      </c>
      <c r="O1242" s="158"/>
      <c r="P1242" s="153"/>
    </row>
    <row r="1243" spans="1:17" s="1" customFormat="1" x14ac:dyDescent="0.2">
      <c r="A1243" t="s">
        <v>1681</v>
      </c>
      <c r="B1243" t="s">
        <v>1401</v>
      </c>
      <c r="C1243" s="16" t="s">
        <v>1723</v>
      </c>
      <c r="D1243" s="130" t="s">
        <v>429</v>
      </c>
      <c r="E1243" s="131" t="s">
        <v>1781</v>
      </c>
      <c r="F1243" s="131" t="s">
        <v>1783</v>
      </c>
      <c r="G1243" s="132" t="s">
        <v>107</v>
      </c>
      <c r="H1243" s="159">
        <v>0.83599999999999997</v>
      </c>
      <c r="I1243" s="159">
        <f t="shared" si="208"/>
        <v>0.83599999999999997</v>
      </c>
      <c r="J1243" s="166">
        <v>8322279</v>
      </c>
      <c r="K1243" s="166">
        <f t="shared" si="204"/>
        <v>6957425.2439999999</v>
      </c>
      <c r="L1243" s="158"/>
      <c r="M1243" s="158"/>
      <c r="N1243" s="166">
        <f t="shared" si="207"/>
        <v>6957425.2439999999</v>
      </c>
      <c r="O1243" s="158"/>
      <c r="P1243" s="153"/>
    </row>
    <row r="1244" spans="1:17" s="1" customFormat="1" x14ac:dyDescent="0.2">
      <c r="A1244" t="s">
        <v>1681</v>
      </c>
      <c r="B1244" t="s">
        <v>1401</v>
      </c>
      <c r="C1244" s="16" t="s">
        <v>1723</v>
      </c>
      <c r="D1244" s="130" t="s">
        <v>432</v>
      </c>
      <c r="E1244" s="131" t="s">
        <v>1781</v>
      </c>
      <c r="F1244" s="131" t="s">
        <v>1842</v>
      </c>
      <c r="G1244" s="132" t="s">
        <v>107</v>
      </c>
      <c r="H1244" s="159">
        <v>0.55930000000000002</v>
      </c>
      <c r="I1244" s="159">
        <f t="shared" si="208"/>
        <v>0.55930000000000002</v>
      </c>
      <c r="J1244" s="166">
        <v>9375000</v>
      </c>
      <c r="K1244" s="166">
        <f t="shared" si="204"/>
        <v>5243437.5</v>
      </c>
      <c r="L1244" s="158"/>
      <c r="M1244" s="158"/>
      <c r="N1244" s="166">
        <f t="shared" si="207"/>
        <v>5243437.5</v>
      </c>
      <c r="O1244" s="158"/>
      <c r="P1244" s="153"/>
    </row>
    <row r="1245" spans="1:17" s="1" customFormat="1" x14ac:dyDescent="0.2">
      <c r="A1245" t="s">
        <v>1681</v>
      </c>
      <c r="B1245" t="s">
        <v>1401</v>
      </c>
      <c r="C1245" s="16" t="s">
        <v>1723</v>
      </c>
      <c r="D1245" s="130" t="s">
        <v>443</v>
      </c>
      <c r="E1245" s="131" t="s">
        <v>1781</v>
      </c>
      <c r="F1245" s="131" t="s">
        <v>1786</v>
      </c>
      <c r="G1245" s="132" t="s">
        <v>107</v>
      </c>
      <c r="H1245" s="159">
        <v>5.2478999999999996</v>
      </c>
      <c r="I1245" s="159">
        <f t="shared" si="208"/>
        <v>5.2478999999999996</v>
      </c>
      <c r="J1245" s="166">
        <v>8019225</v>
      </c>
      <c r="K1245" s="166">
        <f t="shared" si="204"/>
        <v>42084090.877499998</v>
      </c>
      <c r="L1245" s="158"/>
      <c r="M1245" s="158"/>
      <c r="N1245" s="166">
        <f t="shared" si="207"/>
        <v>42084090.877499998</v>
      </c>
      <c r="O1245" s="158"/>
      <c r="P1245" s="153"/>
    </row>
    <row r="1246" spans="1:17" s="1" customFormat="1" x14ac:dyDescent="0.2">
      <c r="A1246" t="s">
        <v>1681</v>
      </c>
      <c r="B1246" t="s">
        <v>1401</v>
      </c>
      <c r="C1246" s="16" t="s">
        <v>1723</v>
      </c>
      <c r="D1246" s="130" t="s">
        <v>450</v>
      </c>
      <c r="E1246" s="131" t="s">
        <v>1843</v>
      </c>
      <c r="F1246" s="131" t="s">
        <v>1844</v>
      </c>
      <c r="G1246" s="132" t="s">
        <v>42</v>
      </c>
      <c r="H1246" s="159">
        <v>15850</v>
      </c>
      <c r="I1246" s="159">
        <f t="shared" si="208"/>
        <v>15850</v>
      </c>
      <c r="J1246" s="166">
        <v>196.42857142857142</v>
      </c>
      <c r="K1246" s="166">
        <f t="shared" si="204"/>
        <v>3113392.8571428568</v>
      </c>
      <c r="L1246" s="158"/>
      <c r="M1246" s="158"/>
      <c r="N1246" s="166">
        <f t="shared" si="207"/>
        <v>3113392.8571428568</v>
      </c>
      <c r="O1246" s="158"/>
      <c r="P1246" s="153"/>
    </row>
    <row r="1247" spans="1:17" ht="15.75" x14ac:dyDescent="0.25">
      <c r="A1247" t="s">
        <v>1681</v>
      </c>
      <c r="B1247" t="s">
        <v>1401</v>
      </c>
      <c r="D1247" s="151" t="s">
        <v>1857</v>
      </c>
      <c r="E1247" s="128"/>
      <c r="F1247" s="163"/>
      <c r="G1247" s="128"/>
      <c r="H1247" s="128"/>
      <c r="I1247" s="128"/>
      <c r="J1247" s="158"/>
      <c r="K1247" s="158"/>
      <c r="L1247" s="158"/>
      <c r="M1247" s="158"/>
      <c r="N1247" s="158"/>
      <c r="O1247" s="158"/>
      <c r="P1247" s="152"/>
    </row>
    <row r="1248" spans="1:17" s="1" customFormat="1" ht="38.25" customHeight="1" x14ac:dyDescent="0.2">
      <c r="A1248" t="s">
        <v>1681</v>
      </c>
      <c r="B1248" t="s">
        <v>1401</v>
      </c>
      <c r="C1248" s="1" t="s">
        <v>1683</v>
      </c>
      <c r="D1248" s="130" t="s">
        <v>455</v>
      </c>
      <c r="E1248" s="131" t="s">
        <v>1826</v>
      </c>
      <c r="F1248" s="131" t="s">
        <v>1827</v>
      </c>
      <c r="G1248" s="132" t="s">
        <v>1692</v>
      </c>
      <c r="H1248" s="159">
        <v>1.8029999999999999</v>
      </c>
      <c r="I1248" s="159"/>
      <c r="J1248" s="158"/>
      <c r="K1248" s="158"/>
      <c r="L1248" s="158"/>
      <c r="M1248" s="158"/>
      <c r="N1248" s="158"/>
      <c r="O1248" s="158"/>
      <c r="P1248" s="153"/>
      <c r="Q1248" s="35"/>
    </row>
    <row r="1249" spans="1:16" s="14" customFormat="1" x14ac:dyDescent="0.2">
      <c r="A1249" t="s">
        <v>1681</v>
      </c>
      <c r="B1249" t="s">
        <v>1401</v>
      </c>
      <c r="C1249" s="14" t="s">
        <v>24</v>
      </c>
      <c r="D1249" s="134" t="s">
        <v>458</v>
      </c>
      <c r="E1249" s="135" t="s">
        <v>18</v>
      </c>
      <c r="F1249" s="160" t="s">
        <v>23</v>
      </c>
      <c r="G1249" s="135" t="s">
        <v>24</v>
      </c>
      <c r="H1249" s="158">
        <v>758.74</v>
      </c>
      <c r="I1249" s="158">
        <v>1368.0082</v>
      </c>
      <c r="J1249" s="158">
        <v>22914.53</v>
      </c>
      <c r="K1249" s="158">
        <f t="shared" ref="K1249:K1270" si="209">+J1249*I1249</f>
        <v>31347264.939145997</v>
      </c>
      <c r="L1249" s="158">
        <f t="shared" ref="L1249:L1250" si="210">+J1249*I1249</f>
        <v>31347264.939145997</v>
      </c>
      <c r="M1249" s="158"/>
      <c r="N1249" s="158"/>
      <c r="O1249" s="158"/>
      <c r="P1249" s="154"/>
    </row>
    <row r="1250" spans="1:16" s="16" customFormat="1" x14ac:dyDescent="0.2">
      <c r="A1250" t="s">
        <v>1681</v>
      </c>
      <c r="B1250" t="s">
        <v>1401</v>
      </c>
      <c r="C1250" s="14" t="s">
        <v>24</v>
      </c>
      <c r="D1250" s="134" t="s">
        <v>459</v>
      </c>
      <c r="E1250" s="135" t="s">
        <v>52</v>
      </c>
      <c r="F1250" s="160" t="s">
        <v>1687</v>
      </c>
      <c r="G1250" s="135" t="s">
        <v>24</v>
      </c>
      <c r="H1250" s="158">
        <v>41.11</v>
      </c>
      <c r="I1250" s="158">
        <v>74.121300000000005</v>
      </c>
      <c r="J1250" s="158"/>
      <c r="K1250" s="158">
        <f t="shared" si="209"/>
        <v>0</v>
      </c>
      <c r="L1250" s="158">
        <f t="shared" si="210"/>
        <v>0</v>
      </c>
      <c r="M1250" s="158"/>
      <c r="N1250" s="158"/>
      <c r="O1250" s="158"/>
      <c r="P1250" s="156"/>
    </row>
    <row r="1251" spans="1:16" s="15" customFormat="1" x14ac:dyDescent="0.2">
      <c r="A1251" t="s">
        <v>1681</v>
      </c>
      <c r="B1251" t="s">
        <v>1401</v>
      </c>
      <c r="C1251" s="124" t="s">
        <v>28</v>
      </c>
      <c r="D1251" s="138" t="s">
        <v>460</v>
      </c>
      <c r="E1251" s="139" t="s">
        <v>262</v>
      </c>
      <c r="F1251" s="161" t="s">
        <v>263</v>
      </c>
      <c r="G1251" s="139" t="s">
        <v>28</v>
      </c>
      <c r="H1251" s="162">
        <v>0.27</v>
      </c>
      <c r="I1251" s="162">
        <v>0.48681000000000002</v>
      </c>
      <c r="J1251" s="158">
        <v>140201</v>
      </c>
      <c r="K1251" s="158">
        <f t="shared" si="209"/>
        <v>68251.248810000005</v>
      </c>
      <c r="L1251" s="158"/>
      <c r="M1251" s="158">
        <f t="shared" ref="M1251:M1257" si="211">+J1251*I1251</f>
        <v>68251.248810000005</v>
      </c>
      <c r="N1251" s="158"/>
      <c r="O1251" s="158"/>
      <c r="P1251" s="155"/>
    </row>
    <row r="1252" spans="1:16" s="15" customFormat="1" x14ac:dyDescent="0.2">
      <c r="A1252" t="s">
        <v>1681</v>
      </c>
      <c r="B1252" t="s">
        <v>1401</v>
      </c>
      <c r="C1252" s="124" t="s">
        <v>28</v>
      </c>
      <c r="D1252" s="138" t="s">
        <v>463</v>
      </c>
      <c r="E1252" s="139" t="s">
        <v>1743</v>
      </c>
      <c r="F1252" s="161" t="s">
        <v>1744</v>
      </c>
      <c r="G1252" s="139" t="s">
        <v>28</v>
      </c>
      <c r="H1252" s="162">
        <v>38.32</v>
      </c>
      <c r="I1252" s="162">
        <v>69.090999999999994</v>
      </c>
      <c r="J1252" s="158">
        <v>965</v>
      </c>
      <c r="K1252" s="158">
        <f t="shared" si="209"/>
        <v>66672.814999999988</v>
      </c>
      <c r="L1252" s="158"/>
      <c r="M1252" s="158">
        <f t="shared" si="211"/>
        <v>66672.814999999988</v>
      </c>
      <c r="N1252" s="158"/>
      <c r="O1252" s="158"/>
      <c r="P1252" s="155"/>
    </row>
    <row r="1253" spans="1:16" s="15" customFormat="1" x14ac:dyDescent="0.2">
      <c r="A1253" t="s">
        <v>1681</v>
      </c>
      <c r="B1253" t="s">
        <v>1401</v>
      </c>
      <c r="C1253" s="124" t="s">
        <v>28</v>
      </c>
      <c r="D1253" s="138" t="s">
        <v>1858</v>
      </c>
      <c r="E1253" s="139" t="s">
        <v>1079</v>
      </c>
      <c r="F1253" s="161" t="s">
        <v>1080</v>
      </c>
      <c r="G1253" s="139" t="s">
        <v>28</v>
      </c>
      <c r="H1253" s="162">
        <v>38.68</v>
      </c>
      <c r="I1253" s="162">
        <v>69.739999999999995</v>
      </c>
      <c r="J1253" s="158">
        <v>132706</v>
      </c>
      <c r="K1253" s="158">
        <f t="shared" si="209"/>
        <v>9254916.4399999995</v>
      </c>
      <c r="L1253" s="158"/>
      <c r="M1253" s="158">
        <f t="shared" si="211"/>
        <v>9254916.4399999995</v>
      </c>
      <c r="N1253" s="158"/>
      <c r="O1253" s="158"/>
      <c r="P1253" s="155"/>
    </row>
    <row r="1254" spans="1:16" s="15" customFormat="1" ht="24" x14ac:dyDescent="0.2">
      <c r="A1254" t="s">
        <v>1681</v>
      </c>
      <c r="B1254" t="s">
        <v>1401</v>
      </c>
      <c r="C1254" s="124" t="s">
        <v>28</v>
      </c>
      <c r="D1254" s="138" t="s">
        <v>1859</v>
      </c>
      <c r="E1254" s="139" t="s">
        <v>876</v>
      </c>
      <c r="F1254" s="161" t="s">
        <v>877</v>
      </c>
      <c r="G1254" s="139" t="s">
        <v>28</v>
      </c>
      <c r="H1254" s="162">
        <v>0.94</v>
      </c>
      <c r="I1254" s="162">
        <v>1.6948000000000001</v>
      </c>
      <c r="J1254" s="158">
        <v>239461</v>
      </c>
      <c r="K1254" s="158">
        <f t="shared" si="209"/>
        <v>405838.50280000002</v>
      </c>
      <c r="L1254" s="158"/>
      <c r="M1254" s="158">
        <f t="shared" si="211"/>
        <v>405838.50280000002</v>
      </c>
      <c r="N1254" s="158"/>
      <c r="O1254" s="158"/>
      <c r="P1254" s="155"/>
    </row>
    <row r="1255" spans="1:16" s="15" customFormat="1" x14ac:dyDescent="0.2">
      <c r="A1255" t="s">
        <v>1681</v>
      </c>
      <c r="B1255" t="s">
        <v>1401</v>
      </c>
      <c r="C1255" s="124" t="s">
        <v>28</v>
      </c>
      <c r="D1255" s="138" t="s">
        <v>1860</v>
      </c>
      <c r="E1255" s="139" t="s">
        <v>1767</v>
      </c>
      <c r="F1255" s="161" t="s">
        <v>1768</v>
      </c>
      <c r="G1255" s="139" t="s">
        <v>28</v>
      </c>
      <c r="H1255" s="162">
        <v>1.51</v>
      </c>
      <c r="I1255" s="162">
        <v>2.7225000000000001</v>
      </c>
      <c r="J1255" s="158">
        <v>1349</v>
      </c>
      <c r="K1255" s="158">
        <f t="shared" si="209"/>
        <v>3672.6525000000001</v>
      </c>
      <c r="L1255" s="158"/>
      <c r="M1255" s="158">
        <f t="shared" si="211"/>
        <v>3672.6525000000001</v>
      </c>
      <c r="N1255" s="158"/>
      <c r="O1255" s="158"/>
      <c r="P1255" s="155"/>
    </row>
    <row r="1256" spans="1:16" s="15" customFormat="1" x14ac:dyDescent="0.2">
      <c r="A1256" t="s">
        <v>1681</v>
      </c>
      <c r="B1256" t="s">
        <v>1401</v>
      </c>
      <c r="C1256" s="124" t="s">
        <v>28</v>
      </c>
      <c r="D1256" s="138" t="s">
        <v>1861</v>
      </c>
      <c r="E1256" s="139" t="s">
        <v>98</v>
      </c>
      <c r="F1256" s="161" t="s">
        <v>99</v>
      </c>
      <c r="G1256" s="139" t="s">
        <v>28</v>
      </c>
      <c r="H1256" s="162">
        <v>99.96</v>
      </c>
      <c r="I1256" s="162">
        <v>180.22790000000001</v>
      </c>
      <c r="J1256" s="158">
        <v>6858</v>
      </c>
      <c r="K1256" s="158">
        <f t="shared" si="209"/>
        <v>1236002.9382</v>
      </c>
      <c r="L1256" s="158"/>
      <c r="M1256" s="158">
        <f t="shared" si="211"/>
        <v>1236002.9382</v>
      </c>
      <c r="N1256" s="158"/>
      <c r="O1256" s="158"/>
      <c r="P1256" s="155"/>
    </row>
    <row r="1257" spans="1:16" s="15" customFormat="1" x14ac:dyDescent="0.2">
      <c r="A1257" t="s">
        <v>1681</v>
      </c>
      <c r="B1257" t="s">
        <v>1401</v>
      </c>
      <c r="C1257" s="124" t="s">
        <v>28</v>
      </c>
      <c r="D1257" s="138" t="s">
        <v>1862</v>
      </c>
      <c r="E1257" s="139" t="s">
        <v>30</v>
      </c>
      <c r="F1257" s="161" t="s">
        <v>31</v>
      </c>
      <c r="G1257" s="139" t="s">
        <v>28</v>
      </c>
      <c r="H1257" s="162">
        <v>1.22</v>
      </c>
      <c r="I1257" s="162">
        <v>2.1997</v>
      </c>
      <c r="J1257" s="158">
        <v>106655</v>
      </c>
      <c r="K1257" s="158">
        <f t="shared" si="209"/>
        <v>234609.00349999999</v>
      </c>
      <c r="L1257" s="158"/>
      <c r="M1257" s="158">
        <f t="shared" si="211"/>
        <v>234609.00349999999</v>
      </c>
      <c r="N1257" s="158"/>
      <c r="O1257" s="158"/>
      <c r="P1257" s="155"/>
    </row>
    <row r="1258" spans="1:16" s="16" customFormat="1" x14ac:dyDescent="0.2">
      <c r="A1258" t="s">
        <v>1681</v>
      </c>
      <c r="B1258" t="s">
        <v>1401</v>
      </c>
      <c r="C1258" s="16" t="s">
        <v>1723</v>
      </c>
      <c r="D1258" s="142" t="s">
        <v>1863</v>
      </c>
      <c r="E1258" s="143" t="s">
        <v>1797</v>
      </c>
      <c r="F1258" s="164" t="s">
        <v>1798</v>
      </c>
      <c r="G1258" s="143" t="s">
        <v>420</v>
      </c>
      <c r="H1258" s="165">
        <v>101.5</v>
      </c>
      <c r="I1258" s="165">
        <v>183.00450000000001</v>
      </c>
      <c r="J1258" s="158">
        <v>544643</v>
      </c>
      <c r="K1258" s="158">
        <f t="shared" si="209"/>
        <v>99672119.8935</v>
      </c>
      <c r="L1258" s="158"/>
      <c r="M1258" s="158"/>
      <c r="N1258" s="158">
        <f t="shared" ref="N1258:N1270" si="212">+J1258*I1258</f>
        <v>99672119.8935</v>
      </c>
      <c r="O1258" s="158"/>
      <c r="P1258" s="156"/>
    </row>
    <row r="1259" spans="1:16" s="16" customFormat="1" x14ac:dyDescent="0.2">
      <c r="A1259" t="s">
        <v>1681</v>
      </c>
      <c r="B1259" t="s">
        <v>1401</v>
      </c>
      <c r="C1259" s="16" t="s">
        <v>1723</v>
      </c>
      <c r="D1259" s="142" t="s">
        <v>1864</v>
      </c>
      <c r="E1259" s="143" t="s">
        <v>124</v>
      </c>
      <c r="F1259" s="164" t="s">
        <v>125</v>
      </c>
      <c r="G1259" s="143" t="s">
        <v>107</v>
      </c>
      <c r="H1259" s="165">
        <v>2.4E-2</v>
      </c>
      <c r="I1259" s="165">
        <v>4.3271999999999998E-2</v>
      </c>
      <c r="J1259" s="158">
        <v>9500000</v>
      </c>
      <c r="K1259" s="158">
        <f t="shared" si="209"/>
        <v>411084</v>
      </c>
      <c r="L1259" s="158"/>
      <c r="M1259" s="158"/>
      <c r="N1259" s="158">
        <f t="shared" si="212"/>
        <v>411084</v>
      </c>
      <c r="O1259" s="158"/>
      <c r="P1259" s="156"/>
    </row>
    <row r="1260" spans="1:16" s="16" customFormat="1" x14ac:dyDescent="0.2">
      <c r="A1260" t="s">
        <v>1681</v>
      </c>
      <c r="B1260" t="s">
        <v>1401</v>
      </c>
      <c r="C1260" s="16" t="s">
        <v>1723</v>
      </c>
      <c r="D1260" s="142" t="s">
        <v>1865</v>
      </c>
      <c r="E1260" s="143" t="s">
        <v>1185</v>
      </c>
      <c r="F1260" s="164" t="s">
        <v>1186</v>
      </c>
      <c r="G1260" s="143" t="s">
        <v>107</v>
      </c>
      <c r="H1260" s="165">
        <v>0.1</v>
      </c>
      <c r="I1260" s="165">
        <v>0.18029999999999999</v>
      </c>
      <c r="J1260" s="158">
        <v>7812501</v>
      </c>
      <c r="K1260" s="158">
        <f t="shared" si="209"/>
        <v>1408593.9302999999</v>
      </c>
      <c r="L1260" s="158"/>
      <c r="M1260" s="158"/>
      <c r="N1260" s="158">
        <f t="shared" si="212"/>
        <v>1408593.9302999999</v>
      </c>
      <c r="O1260" s="158"/>
      <c r="P1260" s="156"/>
    </row>
    <row r="1261" spans="1:16" s="16" customFormat="1" x14ac:dyDescent="0.2">
      <c r="A1261" t="s">
        <v>1681</v>
      </c>
      <c r="B1261" t="s">
        <v>1401</v>
      </c>
      <c r="C1261" s="16" t="s">
        <v>1723</v>
      </c>
      <c r="D1261" s="142" t="s">
        <v>1866</v>
      </c>
      <c r="E1261" s="143" t="s">
        <v>693</v>
      </c>
      <c r="F1261" s="164" t="s">
        <v>694</v>
      </c>
      <c r="G1261" s="143" t="s">
        <v>107</v>
      </c>
      <c r="H1261" s="165">
        <v>0.12</v>
      </c>
      <c r="I1261" s="165">
        <v>0.21636</v>
      </c>
      <c r="J1261" s="158">
        <v>11250000</v>
      </c>
      <c r="K1261" s="158">
        <f t="shared" si="209"/>
        <v>2434050</v>
      </c>
      <c r="L1261" s="158"/>
      <c r="M1261" s="158"/>
      <c r="N1261" s="158">
        <f t="shared" si="212"/>
        <v>2434050</v>
      </c>
      <c r="O1261" s="158"/>
      <c r="P1261" s="156"/>
    </row>
    <row r="1262" spans="1:16" s="16" customFormat="1" ht="24" x14ac:dyDescent="0.2">
      <c r="A1262" t="s">
        <v>1681</v>
      </c>
      <c r="B1262" t="s">
        <v>1401</v>
      </c>
      <c r="C1262" s="16" t="s">
        <v>1723</v>
      </c>
      <c r="D1262" s="142" t="s">
        <v>1867</v>
      </c>
      <c r="E1262" s="143" t="s">
        <v>1838</v>
      </c>
      <c r="F1262" s="164" t="s">
        <v>1839</v>
      </c>
      <c r="G1262" s="143" t="s">
        <v>420</v>
      </c>
      <c r="H1262" s="165">
        <v>0.6</v>
      </c>
      <c r="I1262" s="165">
        <v>1.0818000000000001</v>
      </c>
      <c r="J1262" s="158">
        <v>4107143</v>
      </c>
      <c r="K1262" s="158">
        <f t="shared" si="209"/>
        <v>4443107.2974000005</v>
      </c>
      <c r="L1262" s="158"/>
      <c r="M1262" s="158"/>
      <c r="N1262" s="158">
        <f t="shared" si="212"/>
        <v>4443107.2974000005</v>
      </c>
      <c r="O1262" s="158"/>
      <c r="P1262" s="156"/>
    </row>
    <row r="1263" spans="1:16" s="16" customFormat="1" ht="24" x14ac:dyDescent="0.2">
      <c r="A1263" t="s">
        <v>1681</v>
      </c>
      <c r="B1263" t="s">
        <v>1401</v>
      </c>
      <c r="C1263" s="16" t="s">
        <v>1723</v>
      </c>
      <c r="D1263" s="142" t="s">
        <v>1868</v>
      </c>
      <c r="E1263" s="143" t="s">
        <v>1776</v>
      </c>
      <c r="F1263" s="164" t="s">
        <v>1777</v>
      </c>
      <c r="G1263" s="143" t="s">
        <v>420</v>
      </c>
      <c r="H1263" s="165">
        <v>1.83</v>
      </c>
      <c r="I1263" s="165">
        <v>3.2995000000000001</v>
      </c>
      <c r="J1263" s="158">
        <v>4107143</v>
      </c>
      <c r="K1263" s="158">
        <f t="shared" si="209"/>
        <v>13551518.328500001</v>
      </c>
      <c r="L1263" s="158"/>
      <c r="M1263" s="158"/>
      <c r="N1263" s="158">
        <f t="shared" si="212"/>
        <v>13551518.328500001</v>
      </c>
      <c r="O1263" s="158"/>
      <c r="P1263" s="156"/>
    </row>
    <row r="1264" spans="1:16" s="16" customFormat="1" x14ac:dyDescent="0.2">
      <c r="A1264" t="s">
        <v>1681</v>
      </c>
      <c r="B1264" t="s">
        <v>1401</v>
      </c>
      <c r="C1264" s="16" t="s">
        <v>1723</v>
      </c>
      <c r="D1264" s="142" t="s">
        <v>1869</v>
      </c>
      <c r="E1264" s="143" t="s">
        <v>1808</v>
      </c>
      <c r="F1264" s="164" t="s">
        <v>1809</v>
      </c>
      <c r="G1264" s="143" t="s">
        <v>38</v>
      </c>
      <c r="H1264" s="165">
        <v>97.4</v>
      </c>
      <c r="I1264" s="165">
        <v>175.6122</v>
      </c>
      <c r="J1264" s="158">
        <v>102678</v>
      </c>
      <c r="K1264" s="158">
        <f t="shared" si="209"/>
        <v>18031509.4716</v>
      </c>
      <c r="L1264" s="158"/>
      <c r="M1264" s="158"/>
      <c r="N1264" s="158">
        <f t="shared" si="212"/>
        <v>18031509.4716</v>
      </c>
      <c r="O1264" s="158"/>
      <c r="P1264" s="156"/>
    </row>
    <row r="1265" spans="1:17" s="1" customFormat="1" x14ac:dyDescent="0.2">
      <c r="A1265" t="s">
        <v>1681</v>
      </c>
      <c r="B1265" t="s">
        <v>1401</v>
      </c>
      <c r="C1265" s="16" t="s">
        <v>1723</v>
      </c>
      <c r="D1265" s="130" t="s">
        <v>467</v>
      </c>
      <c r="E1265" s="131" t="s">
        <v>1781</v>
      </c>
      <c r="F1265" s="131" t="s">
        <v>1810</v>
      </c>
      <c r="G1265" s="132" t="s">
        <v>107</v>
      </c>
      <c r="H1265" s="159">
        <v>1.0643</v>
      </c>
      <c r="I1265" s="159">
        <f t="shared" ref="I1265:I1270" si="213">+H1265</f>
        <v>1.0643</v>
      </c>
      <c r="J1265" s="166">
        <v>7812501</v>
      </c>
      <c r="K1265" s="166">
        <f t="shared" si="209"/>
        <v>8314844.8142999997</v>
      </c>
      <c r="L1265" s="158"/>
      <c r="M1265" s="158"/>
      <c r="N1265" s="166">
        <f t="shared" si="212"/>
        <v>8314844.8142999997</v>
      </c>
      <c r="O1265" s="158"/>
      <c r="P1265" s="153"/>
    </row>
    <row r="1266" spans="1:17" s="1" customFormat="1" x14ac:dyDescent="0.2">
      <c r="A1266" t="s">
        <v>1681</v>
      </c>
      <c r="B1266" t="s">
        <v>1401</v>
      </c>
      <c r="C1266" s="16" t="s">
        <v>1723</v>
      </c>
      <c r="D1266" s="130" t="s">
        <v>487</v>
      </c>
      <c r="E1266" s="131" t="s">
        <v>1781</v>
      </c>
      <c r="F1266" s="131" t="s">
        <v>1782</v>
      </c>
      <c r="G1266" s="132" t="s">
        <v>107</v>
      </c>
      <c r="H1266" s="159">
        <v>17.764900000000001</v>
      </c>
      <c r="I1266" s="159">
        <f t="shared" si="213"/>
        <v>17.764900000000001</v>
      </c>
      <c r="J1266" s="166">
        <v>8482143</v>
      </c>
      <c r="K1266" s="166">
        <f t="shared" si="209"/>
        <v>150684422.1807</v>
      </c>
      <c r="L1266" s="158"/>
      <c r="M1266" s="158"/>
      <c r="N1266" s="166">
        <f t="shared" si="212"/>
        <v>150684422.1807</v>
      </c>
      <c r="O1266" s="158"/>
      <c r="P1266" s="153"/>
    </row>
    <row r="1267" spans="1:17" s="1" customFormat="1" x14ac:dyDescent="0.2">
      <c r="A1267" t="s">
        <v>1681</v>
      </c>
      <c r="B1267" t="s">
        <v>1401</v>
      </c>
      <c r="C1267" s="16" t="s">
        <v>1723</v>
      </c>
      <c r="D1267" s="130" t="s">
        <v>496</v>
      </c>
      <c r="E1267" s="131" t="s">
        <v>1781</v>
      </c>
      <c r="F1267" s="131" t="s">
        <v>1783</v>
      </c>
      <c r="G1267" s="132" t="s">
        <v>107</v>
      </c>
      <c r="H1267" s="159">
        <v>0.50180999999999998</v>
      </c>
      <c r="I1267" s="159">
        <f t="shared" si="213"/>
        <v>0.50180999999999998</v>
      </c>
      <c r="J1267" s="166">
        <v>8322279</v>
      </c>
      <c r="K1267" s="166">
        <f t="shared" si="209"/>
        <v>4176202.8249899996</v>
      </c>
      <c r="L1267" s="158"/>
      <c r="M1267" s="158"/>
      <c r="N1267" s="166">
        <f t="shared" si="212"/>
        <v>4176202.8249899996</v>
      </c>
      <c r="O1267" s="158"/>
      <c r="P1267" s="153"/>
    </row>
    <row r="1268" spans="1:17" s="1" customFormat="1" x14ac:dyDescent="0.2">
      <c r="A1268" t="s">
        <v>1681</v>
      </c>
      <c r="B1268" t="s">
        <v>1401</v>
      </c>
      <c r="C1268" s="16" t="s">
        <v>1723</v>
      </c>
      <c r="D1268" s="130" t="s">
        <v>499</v>
      </c>
      <c r="E1268" s="131" t="s">
        <v>1781</v>
      </c>
      <c r="F1268" s="131" t="s">
        <v>1842</v>
      </c>
      <c r="G1268" s="132" t="s">
        <v>107</v>
      </c>
      <c r="H1268" s="159">
        <v>0.33557999999999999</v>
      </c>
      <c r="I1268" s="159">
        <f t="shared" si="213"/>
        <v>0.33557999999999999</v>
      </c>
      <c r="J1268" s="166">
        <v>9375000</v>
      </c>
      <c r="K1268" s="166">
        <f t="shared" si="209"/>
        <v>3146062.5</v>
      </c>
      <c r="L1268" s="158"/>
      <c r="M1268" s="158"/>
      <c r="N1268" s="166">
        <f t="shared" si="212"/>
        <v>3146062.5</v>
      </c>
      <c r="O1268" s="158"/>
      <c r="P1268" s="153"/>
    </row>
    <row r="1269" spans="1:17" s="1" customFormat="1" x14ac:dyDescent="0.2">
      <c r="A1269" t="s">
        <v>1681</v>
      </c>
      <c r="B1269" t="s">
        <v>1401</v>
      </c>
      <c r="C1269" s="16" t="s">
        <v>1723</v>
      </c>
      <c r="D1269" s="130" t="s">
        <v>501</v>
      </c>
      <c r="E1269" s="131" t="s">
        <v>1781</v>
      </c>
      <c r="F1269" s="131" t="s">
        <v>1786</v>
      </c>
      <c r="G1269" s="132" t="s">
        <v>107</v>
      </c>
      <c r="H1269" s="159">
        <v>3.1488</v>
      </c>
      <c r="I1269" s="159">
        <f t="shared" si="213"/>
        <v>3.1488</v>
      </c>
      <c r="J1269" s="166">
        <v>8019225</v>
      </c>
      <c r="K1269" s="166">
        <f t="shared" si="209"/>
        <v>25250935.68</v>
      </c>
      <c r="L1269" s="158"/>
      <c r="M1269" s="158"/>
      <c r="N1269" s="166">
        <f t="shared" si="212"/>
        <v>25250935.68</v>
      </c>
      <c r="O1269" s="158"/>
      <c r="P1269" s="153"/>
    </row>
    <row r="1270" spans="1:17" s="1" customFormat="1" x14ac:dyDescent="0.2">
      <c r="A1270" t="s">
        <v>1681</v>
      </c>
      <c r="B1270" t="s">
        <v>1401</v>
      </c>
      <c r="C1270" s="16" t="s">
        <v>1723</v>
      </c>
      <c r="D1270" s="130" t="s">
        <v>506</v>
      </c>
      <c r="E1270" s="131" t="s">
        <v>1843</v>
      </c>
      <c r="F1270" s="131" t="s">
        <v>1844</v>
      </c>
      <c r="G1270" s="132" t="s">
        <v>42</v>
      </c>
      <c r="H1270" s="159">
        <v>9510</v>
      </c>
      <c r="I1270" s="159">
        <f t="shared" si="213"/>
        <v>9510</v>
      </c>
      <c r="J1270" s="166">
        <v>196.42857142857142</v>
      </c>
      <c r="K1270" s="166">
        <f t="shared" si="209"/>
        <v>1868035.7142857141</v>
      </c>
      <c r="L1270" s="158"/>
      <c r="M1270" s="158"/>
      <c r="N1270" s="166">
        <f t="shared" si="212"/>
        <v>1868035.7142857141</v>
      </c>
      <c r="O1270" s="158"/>
      <c r="P1270" s="153"/>
    </row>
    <row r="1271" spans="1:17" ht="15.75" x14ac:dyDescent="0.25">
      <c r="A1271" t="s">
        <v>1681</v>
      </c>
      <c r="B1271" t="s">
        <v>1401</v>
      </c>
      <c r="D1271" s="151" t="s">
        <v>1870</v>
      </c>
      <c r="E1271" s="128"/>
      <c r="F1271" s="163"/>
      <c r="G1271" s="128"/>
      <c r="H1271" s="128"/>
      <c r="I1271" s="128"/>
      <c r="J1271" s="158"/>
      <c r="K1271" s="158"/>
      <c r="L1271" s="158"/>
      <c r="M1271" s="158"/>
      <c r="N1271" s="158"/>
      <c r="O1271" s="158"/>
      <c r="P1271" s="152"/>
    </row>
    <row r="1272" spans="1:17" s="1" customFormat="1" ht="42" customHeight="1" x14ac:dyDescent="0.2">
      <c r="A1272" t="s">
        <v>1681</v>
      </c>
      <c r="B1272" t="s">
        <v>1401</v>
      </c>
      <c r="C1272" s="1" t="s">
        <v>1683</v>
      </c>
      <c r="D1272" s="130" t="s">
        <v>509</v>
      </c>
      <c r="E1272" s="131" t="s">
        <v>1826</v>
      </c>
      <c r="F1272" s="131" t="s">
        <v>1827</v>
      </c>
      <c r="G1272" s="132" t="s">
        <v>1692</v>
      </c>
      <c r="H1272" s="159">
        <v>0.60099999999999998</v>
      </c>
      <c r="I1272" s="159"/>
      <c r="J1272" s="158"/>
      <c r="K1272" s="158"/>
      <c r="L1272" s="158"/>
      <c r="M1272" s="158"/>
      <c r="N1272" s="158"/>
      <c r="O1272" s="158"/>
      <c r="P1272" s="153"/>
      <c r="Q1272" s="35"/>
    </row>
    <row r="1273" spans="1:17" s="14" customFormat="1" x14ac:dyDescent="0.2">
      <c r="A1273" t="s">
        <v>1681</v>
      </c>
      <c r="B1273" t="s">
        <v>1401</v>
      </c>
      <c r="C1273" s="14" t="s">
        <v>24</v>
      </c>
      <c r="D1273" s="134" t="s">
        <v>511</v>
      </c>
      <c r="E1273" s="135" t="s">
        <v>18</v>
      </c>
      <c r="F1273" s="160" t="s">
        <v>23</v>
      </c>
      <c r="G1273" s="135" t="s">
        <v>24</v>
      </c>
      <c r="H1273" s="158">
        <v>758.74</v>
      </c>
      <c r="I1273" s="158">
        <v>456.0027</v>
      </c>
      <c r="J1273" s="158">
        <v>22914.53</v>
      </c>
      <c r="K1273" s="158">
        <f t="shared" ref="K1273:K1294" si="214">+J1273*I1273</f>
        <v>10449087.549231</v>
      </c>
      <c r="L1273" s="158">
        <f t="shared" ref="L1273:L1274" si="215">+J1273*I1273</f>
        <v>10449087.549231</v>
      </c>
      <c r="M1273" s="158"/>
      <c r="N1273" s="158"/>
      <c r="O1273" s="158"/>
      <c r="P1273" s="154"/>
    </row>
    <row r="1274" spans="1:17" s="16" customFormat="1" x14ac:dyDescent="0.2">
      <c r="A1274" t="s">
        <v>1681</v>
      </c>
      <c r="B1274" t="s">
        <v>1401</v>
      </c>
      <c r="C1274" s="14" t="s">
        <v>24</v>
      </c>
      <c r="D1274" s="134" t="s">
        <v>512</v>
      </c>
      <c r="E1274" s="135" t="s">
        <v>52</v>
      </c>
      <c r="F1274" s="160" t="s">
        <v>1687</v>
      </c>
      <c r="G1274" s="135" t="s">
        <v>24</v>
      </c>
      <c r="H1274" s="158">
        <v>41.11</v>
      </c>
      <c r="I1274" s="158">
        <v>24.707100000000001</v>
      </c>
      <c r="J1274" s="158"/>
      <c r="K1274" s="158">
        <f t="shared" si="214"/>
        <v>0</v>
      </c>
      <c r="L1274" s="158">
        <f t="shared" si="215"/>
        <v>0</v>
      </c>
      <c r="M1274" s="158"/>
      <c r="N1274" s="158"/>
      <c r="O1274" s="158"/>
      <c r="P1274" s="156"/>
    </row>
    <row r="1275" spans="1:17" s="15" customFormat="1" x14ac:dyDescent="0.2">
      <c r="A1275" t="s">
        <v>1681</v>
      </c>
      <c r="B1275" t="s">
        <v>1401</v>
      </c>
      <c r="C1275" s="124" t="s">
        <v>28</v>
      </c>
      <c r="D1275" s="138" t="s">
        <v>1871</v>
      </c>
      <c r="E1275" s="139" t="s">
        <v>262</v>
      </c>
      <c r="F1275" s="161" t="s">
        <v>263</v>
      </c>
      <c r="G1275" s="139" t="s">
        <v>28</v>
      </c>
      <c r="H1275" s="162">
        <v>0.27</v>
      </c>
      <c r="I1275" s="162">
        <v>0.16227</v>
      </c>
      <c r="J1275" s="158">
        <v>140201</v>
      </c>
      <c r="K1275" s="158">
        <f t="shared" si="214"/>
        <v>22750.416269999998</v>
      </c>
      <c r="L1275" s="158"/>
      <c r="M1275" s="158">
        <f t="shared" ref="M1275:M1281" si="216">+J1275*I1275</f>
        <v>22750.416269999998</v>
      </c>
      <c r="N1275" s="158"/>
      <c r="O1275" s="158"/>
      <c r="P1275" s="155"/>
    </row>
    <row r="1276" spans="1:17" s="15" customFormat="1" x14ac:dyDescent="0.2">
      <c r="A1276" t="s">
        <v>1681</v>
      </c>
      <c r="B1276" t="s">
        <v>1401</v>
      </c>
      <c r="C1276" s="124" t="s">
        <v>28</v>
      </c>
      <c r="D1276" s="138" t="s">
        <v>1872</v>
      </c>
      <c r="E1276" s="139" t="s">
        <v>1743</v>
      </c>
      <c r="F1276" s="161" t="s">
        <v>1744</v>
      </c>
      <c r="G1276" s="139" t="s">
        <v>28</v>
      </c>
      <c r="H1276" s="162">
        <v>38.32</v>
      </c>
      <c r="I1276" s="162">
        <v>23.0303</v>
      </c>
      <c r="J1276" s="158">
        <v>965</v>
      </c>
      <c r="K1276" s="158">
        <f t="shared" si="214"/>
        <v>22224.2395</v>
      </c>
      <c r="L1276" s="158"/>
      <c r="M1276" s="158">
        <f t="shared" si="216"/>
        <v>22224.2395</v>
      </c>
      <c r="N1276" s="158"/>
      <c r="O1276" s="158"/>
      <c r="P1276" s="155"/>
    </row>
    <row r="1277" spans="1:17" s="15" customFormat="1" x14ac:dyDescent="0.2">
      <c r="A1277" t="s">
        <v>1681</v>
      </c>
      <c r="B1277" t="s">
        <v>1401</v>
      </c>
      <c r="C1277" s="124" t="s">
        <v>28</v>
      </c>
      <c r="D1277" s="138" t="s">
        <v>1873</v>
      </c>
      <c r="E1277" s="139" t="s">
        <v>1079</v>
      </c>
      <c r="F1277" s="161" t="s">
        <v>1080</v>
      </c>
      <c r="G1277" s="139" t="s">
        <v>28</v>
      </c>
      <c r="H1277" s="162">
        <v>38.68</v>
      </c>
      <c r="I1277" s="162">
        <v>23.246700000000001</v>
      </c>
      <c r="J1277" s="158">
        <v>132706</v>
      </c>
      <c r="K1277" s="158">
        <f t="shared" si="214"/>
        <v>3084976.5702</v>
      </c>
      <c r="L1277" s="158"/>
      <c r="M1277" s="158">
        <f t="shared" si="216"/>
        <v>3084976.5702</v>
      </c>
      <c r="N1277" s="158"/>
      <c r="O1277" s="158"/>
      <c r="P1277" s="155"/>
    </row>
    <row r="1278" spans="1:17" s="15" customFormat="1" ht="24" x14ac:dyDescent="0.2">
      <c r="A1278" t="s">
        <v>1681</v>
      </c>
      <c r="B1278" t="s">
        <v>1401</v>
      </c>
      <c r="C1278" s="124" t="s">
        <v>28</v>
      </c>
      <c r="D1278" s="138" t="s">
        <v>1874</v>
      </c>
      <c r="E1278" s="139" t="s">
        <v>876</v>
      </c>
      <c r="F1278" s="161" t="s">
        <v>877</v>
      </c>
      <c r="G1278" s="139" t="s">
        <v>28</v>
      </c>
      <c r="H1278" s="162">
        <v>0.94</v>
      </c>
      <c r="I1278" s="162">
        <v>0.56494</v>
      </c>
      <c r="J1278" s="158">
        <v>239461</v>
      </c>
      <c r="K1278" s="158">
        <f t="shared" si="214"/>
        <v>135281.09734000001</v>
      </c>
      <c r="L1278" s="158"/>
      <c r="M1278" s="158">
        <f t="shared" si="216"/>
        <v>135281.09734000001</v>
      </c>
      <c r="N1278" s="158"/>
      <c r="O1278" s="158"/>
      <c r="P1278" s="155"/>
    </row>
    <row r="1279" spans="1:17" s="15" customFormat="1" x14ac:dyDescent="0.2">
      <c r="A1279" t="s">
        <v>1681</v>
      </c>
      <c r="B1279" t="s">
        <v>1401</v>
      </c>
      <c r="C1279" s="124" t="s">
        <v>28</v>
      </c>
      <c r="D1279" s="138" t="s">
        <v>1875</v>
      </c>
      <c r="E1279" s="139" t="s">
        <v>1767</v>
      </c>
      <c r="F1279" s="161" t="s">
        <v>1768</v>
      </c>
      <c r="G1279" s="139" t="s">
        <v>28</v>
      </c>
      <c r="H1279" s="162">
        <v>1.51</v>
      </c>
      <c r="I1279" s="162">
        <v>0.90751000000000004</v>
      </c>
      <c r="J1279" s="158">
        <v>1349</v>
      </c>
      <c r="K1279" s="158">
        <f t="shared" si="214"/>
        <v>1224.23099</v>
      </c>
      <c r="L1279" s="158"/>
      <c r="M1279" s="158">
        <f t="shared" si="216"/>
        <v>1224.23099</v>
      </c>
      <c r="N1279" s="158"/>
      <c r="O1279" s="158"/>
      <c r="P1279" s="155"/>
    </row>
    <row r="1280" spans="1:17" s="15" customFormat="1" x14ac:dyDescent="0.2">
      <c r="A1280" t="s">
        <v>1681</v>
      </c>
      <c r="B1280" t="s">
        <v>1401</v>
      </c>
      <c r="C1280" s="124" t="s">
        <v>28</v>
      </c>
      <c r="D1280" s="138" t="s">
        <v>1876</v>
      </c>
      <c r="E1280" s="139" t="s">
        <v>98</v>
      </c>
      <c r="F1280" s="161" t="s">
        <v>99</v>
      </c>
      <c r="G1280" s="139" t="s">
        <v>28</v>
      </c>
      <c r="H1280" s="162">
        <v>99.96</v>
      </c>
      <c r="I1280" s="162">
        <v>60.076000000000001</v>
      </c>
      <c r="J1280" s="158">
        <v>6858</v>
      </c>
      <c r="K1280" s="158">
        <f t="shared" si="214"/>
        <v>412001.20799999998</v>
      </c>
      <c r="L1280" s="158"/>
      <c r="M1280" s="158">
        <f t="shared" si="216"/>
        <v>412001.20799999998</v>
      </c>
      <c r="N1280" s="158"/>
      <c r="O1280" s="158"/>
      <c r="P1280" s="155"/>
    </row>
    <row r="1281" spans="1:17" s="15" customFormat="1" x14ac:dyDescent="0.2">
      <c r="A1281" t="s">
        <v>1681</v>
      </c>
      <c r="B1281" t="s">
        <v>1401</v>
      </c>
      <c r="C1281" s="124" t="s">
        <v>28</v>
      </c>
      <c r="D1281" s="138" t="s">
        <v>1877</v>
      </c>
      <c r="E1281" s="139" t="s">
        <v>30</v>
      </c>
      <c r="F1281" s="161" t="s">
        <v>31</v>
      </c>
      <c r="G1281" s="139" t="s">
        <v>28</v>
      </c>
      <c r="H1281" s="162">
        <v>1.22</v>
      </c>
      <c r="I1281" s="162">
        <v>0.73321999999999998</v>
      </c>
      <c r="J1281" s="158">
        <v>106655</v>
      </c>
      <c r="K1281" s="158">
        <f t="shared" si="214"/>
        <v>78201.579100000003</v>
      </c>
      <c r="L1281" s="158"/>
      <c r="M1281" s="158">
        <f t="shared" si="216"/>
        <v>78201.579100000003</v>
      </c>
      <c r="N1281" s="158"/>
      <c r="O1281" s="158"/>
      <c r="P1281" s="155"/>
    </row>
    <row r="1282" spans="1:17" s="16" customFormat="1" x14ac:dyDescent="0.2">
      <c r="A1282" t="s">
        <v>1681</v>
      </c>
      <c r="B1282" t="s">
        <v>1401</v>
      </c>
      <c r="C1282" s="16" t="s">
        <v>1723</v>
      </c>
      <c r="D1282" s="142" t="s">
        <v>1878</v>
      </c>
      <c r="E1282" s="143" t="s">
        <v>1797</v>
      </c>
      <c r="F1282" s="164" t="s">
        <v>1798</v>
      </c>
      <c r="G1282" s="143" t="s">
        <v>420</v>
      </c>
      <c r="H1282" s="165">
        <v>101.5</v>
      </c>
      <c r="I1282" s="165">
        <v>61.0015</v>
      </c>
      <c r="J1282" s="158">
        <v>544643</v>
      </c>
      <c r="K1282" s="158">
        <f t="shared" si="214"/>
        <v>33224039.964499999</v>
      </c>
      <c r="L1282" s="158"/>
      <c r="M1282" s="158"/>
      <c r="N1282" s="158">
        <f t="shared" ref="N1282:N1294" si="217">+J1282*I1282</f>
        <v>33224039.964499999</v>
      </c>
      <c r="O1282" s="158"/>
      <c r="P1282" s="156"/>
    </row>
    <row r="1283" spans="1:17" s="16" customFormat="1" x14ac:dyDescent="0.2">
      <c r="A1283" t="s">
        <v>1681</v>
      </c>
      <c r="B1283" t="s">
        <v>1401</v>
      </c>
      <c r="C1283" s="16" t="s">
        <v>1723</v>
      </c>
      <c r="D1283" s="142" t="s">
        <v>1879</v>
      </c>
      <c r="E1283" s="143" t="s">
        <v>124</v>
      </c>
      <c r="F1283" s="164" t="s">
        <v>125</v>
      </c>
      <c r="G1283" s="143" t="s">
        <v>107</v>
      </c>
      <c r="H1283" s="165">
        <v>2.4E-2</v>
      </c>
      <c r="I1283" s="165">
        <v>1.4423999999999999E-2</v>
      </c>
      <c r="J1283" s="158">
        <v>9500000</v>
      </c>
      <c r="K1283" s="158">
        <f t="shared" si="214"/>
        <v>137028</v>
      </c>
      <c r="L1283" s="158"/>
      <c r="M1283" s="158"/>
      <c r="N1283" s="158">
        <f t="shared" si="217"/>
        <v>137028</v>
      </c>
      <c r="O1283" s="158"/>
      <c r="P1283" s="156"/>
    </row>
    <row r="1284" spans="1:17" s="16" customFormat="1" x14ac:dyDescent="0.2">
      <c r="A1284" t="s">
        <v>1681</v>
      </c>
      <c r="B1284" t="s">
        <v>1401</v>
      </c>
      <c r="C1284" s="16" t="s">
        <v>1723</v>
      </c>
      <c r="D1284" s="142" t="s">
        <v>1880</v>
      </c>
      <c r="E1284" s="143" t="s">
        <v>1185</v>
      </c>
      <c r="F1284" s="164" t="s">
        <v>1186</v>
      </c>
      <c r="G1284" s="143" t="s">
        <v>107</v>
      </c>
      <c r="H1284" s="165">
        <v>0.1</v>
      </c>
      <c r="I1284" s="165">
        <v>6.0100000000000001E-2</v>
      </c>
      <c r="J1284" s="158">
        <v>7812501</v>
      </c>
      <c r="K1284" s="158">
        <f t="shared" si="214"/>
        <v>469531.3101</v>
      </c>
      <c r="L1284" s="158"/>
      <c r="M1284" s="158"/>
      <c r="N1284" s="158">
        <f t="shared" si="217"/>
        <v>469531.3101</v>
      </c>
      <c r="O1284" s="158"/>
      <c r="P1284" s="156"/>
    </row>
    <row r="1285" spans="1:17" s="16" customFormat="1" x14ac:dyDescent="0.2">
      <c r="A1285" t="s">
        <v>1681</v>
      </c>
      <c r="B1285" t="s">
        <v>1401</v>
      </c>
      <c r="C1285" s="16" t="s">
        <v>1723</v>
      </c>
      <c r="D1285" s="142" t="s">
        <v>1881</v>
      </c>
      <c r="E1285" s="143" t="s">
        <v>693</v>
      </c>
      <c r="F1285" s="164" t="s">
        <v>694</v>
      </c>
      <c r="G1285" s="143" t="s">
        <v>107</v>
      </c>
      <c r="H1285" s="165">
        <v>0.12</v>
      </c>
      <c r="I1285" s="165">
        <v>7.2120000000000004E-2</v>
      </c>
      <c r="J1285" s="158">
        <v>11250000</v>
      </c>
      <c r="K1285" s="158">
        <f t="shared" si="214"/>
        <v>811350</v>
      </c>
      <c r="L1285" s="158"/>
      <c r="M1285" s="158"/>
      <c r="N1285" s="158">
        <f t="shared" si="217"/>
        <v>811350</v>
      </c>
      <c r="O1285" s="158"/>
      <c r="P1285" s="156"/>
    </row>
    <row r="1286" spans="1:17" s="16" customFormat="1" ht="24" x14ac:dyDescent="0.2">
      <c r="A1286" t="s">
        <v>1681</v>
      </c>
      <c r="B1286" t="s">
        <v>1401</v>
      </c>
      <c r="C1286" s="16" t="s">
        <v>1723</v>
      </c>
      <c r="D1286" s="142" t="s">
        <v>1882</v>
      </c>
      <c r="E1286" s="143" t="s">
        <v>1838</v>
      </c>
      <c r="F1286" s="164" t="s">
        <v>1839</v>
      </c>
      <c r="G1286" s="143" t="s">
        <v>420</v>
      </c>
      <c r="H1286" s="165">
        <v>0.6</v>
      </c>
      <c r="I1286" s="165">
        <v>0.36059999999999998</v>
      </c>
      <c r="J1286" s="158">
        <v>4107143</v>
      </c>
      <c r="K1286" s="158">
        <f t="shared" si="214"/>
        <v>1481035.7657999999</v>
      </c>
      <c r="L1286" s="158"/>
      <c r="M1286" s="158"/>
      <c r="N1286" s="158">
        <f t="shared" si="217"/>
        <v>1481035.7657999999</v>
      </c>
      <c r="O1286" s="158"/>
      <c r="P1286" s="156"/>
    </row>
    <row r="1287" spans="1:17" s="16" customFormat="1" ht="24" x14ac:dyDescent="0.2">
      <c r="A1287" t="s">
        <v>1681</v>
      </c>
      <c r="B1287" t="s">
        <v>1401</v>
      </c>
      <c r="C1287" s="16" t="s">
        <v>1723</v>
      </c>
      <c r="D1287" s="142" t="s">
        <v>1883</v>
      </c>
      <c r="E1287" s="143" t="s">
        <v>1776</v>
      </c>
      <c r="F1287" s="164" t="s">
        <v>1777</v>
      </c>
      <c r="G1287" s="143" t="s">
        <v>420</v>
      </c>
      <c r="H1287" s="165">
        <v>1.83</v>
      </c>
      <c r="I1287" s="165">
        <v>1.0998000000000001</v>
      </c>
      <c r="J1287" s="158">
        <v>4107143</v>
      </c>
      <c r="K1287" s="158">
        <f t="shared" si="214"/>
        <v>4517035.8714000005</v>
      </c>
      <c r="L1287" s="158"/>
      <c r="M1287" s="158"/>
      <c r="N1287" s="158">
        <f t="shared" si="217"/>
        <v>4517035.8714000005</v>
      </c>
      <c r="O1287" s="158"/>
      <c r="P1287" s="156"/>
    </row>
    <row r="1288" spans="1:17" s="16" customFormat="1" x14ac:dyDescent="0.2">
      <c r="A1288" t="s">
        <v>1681</v>
      </c>
      <c r="B1288" t="s">
        <v>1401</v>
      </c>
      <c r="C1288" s="16" t="s">
        <v>1723</v>
      </c>
      <c r="D1288" s="142" t="s">
        <v>1884</v>
      </c>
      <c r="E1288" s="143" t="s">
        <v>1808</v>
      </c>
      <c r="F1288" s="164" t="s">
        <v>1809</v>
      </c>
      <c r="G1288" s="143" t="s">
        <v>38</v>
      </c>
      <c r="H1288" s="165">
        <v>97.4</v>
      </c>
      <c r="I1288" s="165">
        <v>58.537399999999998</v>
      </c>
      <c r="J1288" s="158">
        <v>102678</v>
      </c>
      <c r="K1288" s="158">
        <f t="shared" si="214"/>
        <v>6010503.1572000002</v>
      </c>
      <c r="L1288" s="158"/>
      <c r="M1288" s="158"/>
      <c r="N1288" s="158">
        <f t="shared" si="217"/>
        <v>6010503.1572000002</v>
      </c>
      <c r="O1288" s="158"/>
      <c r="P1288" s="156"/>
    </row>
    <row r="1289" spans="1:17" s="1" customFormat="1" x14ac:dyDescent="0.2">
      <c r="A1289" t="s">
        <v>1681</v>
      </c>
      <c r="B1289" t="s">
        <v>1401</v>
      </c>
      <c r="C1289" s="16" t="s">
        <v>1723</v>
      </c>
      <c r="D1289" s="130" t="s">
        <v>513</v>
      </c>
      <c r="E1289" s="131" t="s">
        <v>1781</v>
      </c>
      <c r="F1289" s="131" t="s">
        <v>1810</v>
      </c>
      <c r="G1289" s="132" t="s">
        <v>107</v>
      </c>
      <c r="H1289" s="159">
        <v>0.35476999999999997</v>
      </c>
      <c r="I1289" s="159">
        <f t="shared" ref="I1289:I1294" si="218">+H1289</f>
        <v>0.35476999999999997</v>
      </c>
      <c r="J1289" s="166">
        <v>7812501</v>
      </c>
      <c r="K1289" s="166">
        <f t="shared" si="214"/>
        <v>2771640.9797699996</v>
      </c>
      <c r="L1289" s="158"/>
      <c r="M1289" s="158"/>
      <c r="N1289" s="166">
        <f t="shared" si="217"/>
        <v>2771640.9797699996</v>
      </c>
      <c r="O1289" s="158"/>
      <c r="P1289" s="153"/>
    </row>
    <row r="1290" spans="1:17" s="1" customFormat="1" x14ac:dyDescent="0.2">
      <c r="A1290" t="s">
        <v>1681</v>
      </c>
      <c r="B1290" t="s">
        <v>1401</v>
      </c>
      <c r="C1290" s="16" t="s">
        <v>1723</v>
      </c>
      <c r="D1290" s="130" t="s">
        <v>532</v>
      </c>
      <c r="E1290" s="131" t="s">
        <v>1781</v>
      </c>
      <c r="F1290" s="131" t="s">
        <v>1782</v>
      </c>
      <c r="G1290" s="132" t="s">
        <v>107</v>
      </c>
      <c r="H1290" s="159">
        <v>5.7367999999999997</v>
      </c>
      <c r="I1290" s="159">
        <f t="shared" si="218"/>
        <v>5.7367999999999997</v>
      </c>
      <c r="J1290" s="166">
        <v>8482143</v>
      </c>
      <c r="K1290" s="166">
        <f t="shared" si="214"/>
        <v>48660357.962399997</v>
      </c>
      <c r="L1290" s="158"/>
      <c r="M1290" s="158"/>
      <c r="N1290" s="166">
        <f t="shared" si="217"/>
        <v>48660357.962399997</v>
      </c>
      <c r="O1290" s="158"/>
      <c r="P1290" s="153"/>
    </row>
    <row r="1291" spans="1:17" s="1" customFormat="1" x14ac:dyDescent="0.2">
      <c r="A1291" t="s">
        <v>1681</v>
      </c>
      <c r="B1291" t="s">
        <v>1401</v>
      </c>
      <c r="C1291" s="16" t="s">
        <v>1723</v>
      </c>
      <c r="D1291" s="130" t="s">
        <v>540</v>
      </c>
      <c r="E1291" s="131" t="s">
        <v>1781</v>
      </c>
      <c r="F1291" s="131" t="s">
        <v>1783</v>
      </c>
      <c r="G1291" s="132" t="s">
        <v>107</v>
      </c>
      <c r="H1291" s="159">
        <v>0.32741999999999999</v>
      </c>
      <c r="I1291" s="159">
        <f t="shared" si="218"/>
        <v>0.32741999999999999</v>
      </c>
      <c r="J1291" s="166">
        <v>8322279</v>
      </c>
      <c r="K1291" s="166">
        <f t="shared" si="214"/>
        <v>2724880.5901799998</v>
      </c>
      <c r="L1291" s="158"/>
      <c r="M1291" s="158"/>
      <c r="N1291" s="166">
        <f t="shared" si="217"/>
        <v>2724880.5901799998</v>
      </c>
      <c r="O1291" s="158"/>
      <c r="P1291" s="153"/>
    </row>
    <row r="1292" spans="1:17" s="1" customFormat="1" x14ac:dyDescent="0.2">
      <c r="A1292" t="s">
        <v>1681</v>
      </c>
      <c r="B1292" t="s">
        <v>1401</v>
      </c>
      <c r="C1292" s="16" t="s">
        <v>1723</v>
      </c>
      <c r="D1292" s="130" t="s">
        <v>547</v>
      </c>
      <c r="E1292" s="131" t="s">
        <v>1781</v>
      </c>
      <c r="F1292" s="131" t="s">
        <v>1842</v>
      </c>
      <c r="G1292" s="132" t="s">
        <v>107</v>
      </c>
      <c r="H1292" s="159">
        <v>0.11186</v>
      </c>
      <c r="I1292" s="159">
        <f t="shared" si="218"/>
        <v>0.11186</v>
      </c>
      <c r="J1292" s="166">
        <v>9375000</v>
      </c>
      <c r="K1292" s="166">
        <f t="shared" si="214"/>
        <v>1048687.5</v>
      </c>
      <c r="L1292" s="158"/>
      <c r="M1292" s="158"/>
      <c r="N1292" s="166">
        <f t="shared" si="217"/>
        <v>1048687.5</v>
      </c>
      <c r="O1292" s="158"/>
      <c r="P1292" s="153"/>
    </row>
    <row r="1293" spans="1:17" s="1" customFormat="1" x14ac:dyDescent="0.2">
      <c r="A1293" t="s">
        <v>1681</v>
      </c>
      <c r="B1293" t="s">
        <v>1401</v>
      </c>
      <c r="C1293" s="16" t="s">
        <v>1723</v>
      </c>
      <c r="D1293" s="130" t="s">
        <v>555</v>
      </c>
      <c r="E1293" s="131" t="s">
        <v>1781</v>
      </c>
      <c r="F1293" s="131" t="s">
        <v>1786</v>
      </c>
      <c r="G1293" s="132" t="s">
        <v>107</v>
      </c>
      <c r="H1293" s="159">
        <v>1.0496000000000001</v>
      </c>
      <c r="I1293" s="159">
        <f t="shared" si="218"/>
        <v>1.0496000000000001</v>
      </c>
      <c r="J1293" s="166">
        <v>8019225</v>
      </c>
      <c r="K1293" s="166">
        <f t="shared" si="214"/>
        <v>8416978.5600000005</v>
      </c>
      <c r="L1293" s="158"/>
      <c r="M1293" s="158"/>
      <c r="N1293" s="166">
        <f t="shared" si="217"/>
        <v>8416978.5600000005</v>
      </c>
      <c r="O1293" s="158"/>
      <c r="P1293" s="153"/>
    </row>
    <row r="1294" spans="1:17" s="1" customFormat="1" x14ac:dyDescent="0.2">
      <c r="A1294" t="s">
        <v>1681</v>
      </c>
      <c r="B1294" t="s">
        <v>1401</v>
      </c>
      <c r="C1294" s="16" t="s">
        <v>1723</v>
      </c>
      <c r="D1294" s="130" t="s">
        <v>558</v>
      </c>
      <c r="E1294" s="131" t="s">
        <v>1843</v>
      </c>
      <c r="F1294" s="131" t="s">
        <v>1844</v>
      </c>
      <c r="G1294" s="132" t="s">
        <v>42</v>
      </c>
      <c r="H1294" s="159">
        <v>3170</v>
      </c>
      <c r="I1294" s="159">
        <f t="shared" si="218"/>
        <v>3170</v>
      </c>
      <c r="J1294" s="166">
        <v>196.42857142857142</v>
      </c>
      <c r="K1294" s="166">
        <f t="shared" si="214"/>
        <v>622678.57142857136</v>
      </c>
      <c r="L1294" s="158"/>
      <c r="M1294" s="158"/>
      <c r="N1294" s="166">
        <f t="shared" si="217"/>
        <v>622678.57142857136</v>
      </c>
      <c r="O1294" s="158"/>
      <c r="P1294" s="153"/>
    </row>
    <row r="1295" spans="1:17" ht="15.75" x14ac:dyDescent="0.25">
      <c r="A1295" t="s">
        <v>1681</v>
      </c>
      <c r="B1295" t="s">
        <v>1401</v>
      </c>
      <c r="D1295" s="151" t="s">
        <v>1885</v>
      </c>
      <c r="E1295" s="128"/>
      <c r="F1295" s="163"/>
      <c r="G1295" s="128"/>
      <c r="H1295" s="128"/>
      <c r="I1295" s="128"/>
      <c r="J1295" s="158"/>
      <c r="K1295" s="158"/>
      <c r="L1295" s="158"/>
      <c r="M1295" s="158"/>
      <c r="N1295" s="158"/>
      <c r="O1295" s="158"/>
      <c r="P1295" s="152"/>
    </row>
    <row r="1296" spans="1:17" s="1" customFormat="1" ht="37.5" customHeight="1" x14ac:dyDescent="0.2">
      <c r="A1296" t="s">
        <v>1681</v>
      </c>
      <c r="B1296" t="s">
        <v>1401</v>
      </c>
      <c r="C1296" s="1" t="s">
        <v>1683</v>
      </c>
      <c r="D1296" s="130" t="s">
        <v>561</v>
      </c>
      <c r="E1296" s="131" t="s">
        <v>1826</v>
      </c>
      <c r="F1296" s="131" t="s">
        <v>1827</v>
      </c>
      <c r="G1296" s="132" t="s">
        <v>1692</v>
      </c>
      <c r="H1296" s="159">
        <v>6.93E-2</v>
      </c>
      <c r="I1296" s="159"/>
      <c r="J1296" s="158"/>
      <c r="K1296" s="158"/>
      <c r="L1296" s="158"/>
      <c r="M1296" s="158"/>
      <c r="N1296" s="158"/>
      <c r="O1296" s="158"/>
      <c r="P1296" s="153"/>
      <c r="Q1296" s="35"/>
    </row>
    <row r="1297" spans="1:16" s="14" customFormat="1" x14ac:dyDescent="0.2">
      <c r="A1297" t="s">
        <v>1681</v>
      </c>
      <c r="B1297" t="s">
        <v>1401</v>
      </c>
      <c r="C1297" s="14" t="s">
        <v>24</v>
      </c>
      <c r="D1297" s="134" t="s">
        <v>562</v>
      </c>
      <c r="E1297" s="135" t="s">
        <v>18</v>
      </c>
      <c r="F1297" s="160" t="s">
        <v>23</v>
      </c>
      <c r="G1297" s="135" t="s">
        <v>24</v>
      </c>
      <c r="H1297" s="158">
        <v>758.74</v>
      </c>
      <c r="I1297" s="158">
        <v>52.5807</v>
      </c>
      <c r="J1297" s="158">
        <v>22914.53</v>
      </c>
      <c r="K1297" s="158">
        <f t="shared" ref="K1297:K1318" si="219">+J1297*I1297</f>
        <v>1204862.0275709999</v>
      </c>
      <c r="L1297" s="158">
        <f t="shared" ref="L1297:L1298" si="220">+J1297*I1297</f>
        <v>1204862.0275709999</v>
      </c>
      <c r="M1297" s="158"/>
      <c r="N1297" s="158"/>
      <c r="O1297" s="158"/>
      <c r="P1297" s="154"/>
    </row>
    <row r="1298" spans="1:16" s="16" customFormat="1" x14ac:dyDescent="0.2">
      <c r="A1298" t="s">
        <v>1681</v>
      </c>
      <c r="B1298" t="s">
        <v>1401</v>
      </c>
      <c r="C1298" s="14" t="s">
        <v>24</v>
      </c>
      <c r="D1298" s="134" t="s">
        <v>563</v>
      </c>
      <c r="E1298" s="135" t="s">
        <v>52</v>
      </c>
      <c r="F1298" s="160" t="s">
        <v>1687</v>
      </c>
      <c r="G1298" s="135" t="s">
        <v>24</v>
      </c>
      <c r="H1298" s="158">
        <v>41.11</v>
      </c>
      <c r="I1298" s="158">
        <v>2.8489</v>
      </c>
      <c r="J1298" s="158"/>
      <c r="K1298" s="158">
        <f t="shared" si="219"/>
        <v>0</v>
      </c>
      <c r="L1298" s="158">
        <f t="shared" si="220"/>
        <v>0</v>
      </c>
      <c r="M1298" s="158"/>
      <c r="N1298" s="158"/>
      <c r="O1298" s="158"/>
      <c r="P1298" s="156"/>
    </row>
    <row r="1299" spans="1:16" s="15" customFormat="1" x14ac:dyDescent="0.2">
      <c r="A1299" t="s">
        <v>1681</v>
      </c>
      <c r="B1299" t="s">
        <v>1401</v>
      </c>
      <c r="C1299" s="124" t="s">
        <v>28</v>
      </c>
      <c r="D1299" s="138" t="s">
        <v>564</v>
      </c>
      <c r="E1299" s="139" t="s">
        <v>262</v>
      </c>
      <c r="F1299" s="161" t="s">
        <v>263</v>
      </c>
      <c r="G1299" s="139" t="s">
        <v>28</v>
      </c>
      <c r="H1299" s="162">
        <v>0.27</v>
      </c>
      <c r="I1299" s="162">
        <v>1.8710999999999998E-2</v>
      </c>
      <c r="J1299" s="158">
        <v>140201</v>
      </c>
      <c r="K1299" s="158">
        <f t="shared" si="219"/>
        <v>2623.3009109999998</v>
      </c>
      <c r="L1299" s="158"/>
      <c r="M1299" s="158">
        <f t="shared" ref="M1299:M1305" si="221">+J1299*I1299</f>
        <v>2623.3009109999998</v>
      </c>
      <c r="N1299" s="158"/>
      <c r="O1299" s="158"/>
      <c r="P1299" s="155"/>
    </row>
    <row r="1300" spans="1:16" s="15" customFormat="1" x14ac:dyDescent="0.2">
      <c r="A1300" t="s">
        <v>1681</v>
      </c>
      <c r="B1300" t="s">
        <v>1401</v>
      </c>
      <c r="C1300" s="124" t="s">
        <v>28</v>
      </c>
      <c r="D1300" s="138" t="s">
        <v>565</v>
      </c>
      <c r="E1300" s="139" t="s">
        <v>1743</v>
      </c>
      <c r="F1300" s="161" t="s">
        <v>1744</v>
      </c>
      <c r="G1300" s="139" t="s">
        <v>28</v>
      </c>
      <c r="H1300" s="162">
        <v>38.32</v>
      </c>
      <c r="I1300" s="162">
        <v>2.6556000000000002</v>
      </c>
      <c r="J1300" s="158">
        <v>965</v>
      </c>
      <c r="K1300" s="158">
        <f t="shared" si="219"/>
        <v>2562.654</v>
      </c>
      <c r="L1300" s="158"/>
      <c r="M1300" s="158">
        <f t="shared" si="221"/>
        <v>2562.654</v>
      </c>
      <c r="N1300" s="158"/>
      <c r="O1300" s="158"/>
      <c r="P1300" s="155"/>
    </row>
    <row r="1301" spans="1:16" s="15" customFormat="1" x14ac:dyDescent="0.2">
      <c r="A1301" t="s">
        <v>1681</v>
      </c>
      <c r="B1301" t="s">
        <v>1401</v>
      </c>
      <c r="C1301" s="124" t="s">
        <v>28</v>
      </c>
      <c r="D1301" s="138" t="s">
        <v>566</v>
      </c>
      <c r="E1301" s="139" t="s">
        <v>1079</v>
      </c>
      <c r="F1301" s="161" t="s">
        <v>1080</v>
      </c>
      <c r="G1301" s="139" t="s">
        <v>28</v>
      </c>
      <c r="H1301" s="162">
        <v>38.68</v>
      </c>
      <c r="I1301" s="162">
        <v>2.6804999999999999</v>
      </c>
      <c r="J1301" s="158">
        <v>132706</v>
      </c>
      <c r="K1301" s="158">
        <f t="shared" si="219"/>
        <v>355718.43299999996</v>
      </c>
      <c r="L1301" s="158"/>
      <c r="M1301" s="158">
        <f t="shared" si="221"/>
        <v>355718.43299999996</v>
      </c>
      <c r="N1301" s="158"/>
      <c r="O1301" s="158"/>
      <c r="P1301" s="155"/>
    </row>
    <row r="1302" spans="1:16" s="15" customFormat="1" ht="24" x14ac:dyDescent="0.2">
      <c r="A1302" t="s">
        <v>1681</v>
      </c>
      <c r="B1302" t="s">
        <v>1401</v>
      </c>
      <c r="C1302" s="124" t="s">
        <v>28</v>
      </c>
      <c r="D1302" s="138" t="s">
        <v>567</v>
      </c>
      <c r="E1302" s="139" t="s">
        <v>876</v>
      </c>
      <c r="F1302" s="161" t="s">
        <v>877</v>
      </c>
      <c r="G1302" s="139" t="s">
        <v>28</v>
      </c>
      <c r="H1302" s="162">
        <v>0.94</v>
      </c>
      <c r="I1302" s="162">
        <v>6.5142000000000005E-2</v>
      </c>
      <c r="J1302" s="158">
        <v>239461</v>
      </c>
      <c r="K1302" s="158">
        <f t="shared" si="219"/>
        <v>15598.968462000001</v>
      </c>
      <c r="L1302" s="158"/>
      <c r="M1302" s="158">
        <f t="shared" si="221"/>
        <v>15598.968462000001</v>
      </c>
      <c r="N1302" s="158"/>
      <c r="O1302" s="158"/>
      <c r="P1302" s="155"/>
    </row>
    <row r="1303" spans="1:16" s="15" customFormat="1" x14ac:dyDescent="0.2">
      <c r="A1303" t="s">
        <v>1681</v>
      </c>
      <c r="B1303" t="s">
        <v>1401</v>
      </c>
      <c r="C1303" s="124" t="s">
        <v>28</v>
      </c>
      <c r="D1303" s="138" t="s">
        <v>1886</v>
      </c>
      <c r="E1303" s="139" t="s">
        <v>1767</v>
      </c>
      <c r="F1303" s="161" t="s">
        <v>1768</v>
      </c>
      <c r="G1303" s="139" t="s">
        <v>28</v>
      </c>
      <c r="H1303" s="162">
        <v>1.51</v>
      </c>
      <c r="I1303" s="162">
        <v>0.104643</v>
      </c>
      <c r="J1303" s="158">
        <v>1349</v>
      </c>
      <c r="K1303" s="158">
        <f t="shared" si="219"/>
        <v>141.16340700000001</v>
      </c>
      <c r="L1303" s="158"/>
      <c r="M1303" s="158">
        <f t="shared" si="221"/>
        <v>141.16340700000001</v>
      </c>
      <c r="N1303" s="158"/>
      <c r="O1303" s="158"/>
      <c r="P1303" s="155"/>
    </row>
    <row r="1304" spans="1:16" s="15" customFormat="1" x14ac:dyDescent="0.2">
      <c r="A1304" t="s">
        <v>1681</v>
      </c>
      <c r="B1304" t="s">
        <v>1401</v>
      </c>
      <c r="C1304" s="124" t="s">
        <v>28</v>
      </c>
      <c r="D1304" s="138" t="s">
        <v>1887</v>
      </c>
      <c r="E1304" s="139" t="s">
        <v>98</v>
      </c>
      <c r="F1304" s="161" t="s">
        <v>99</v>
      </c>
      <c r="G1304" s="139" t="s">
        <v>28</v>
      </c>
      <c r="H1304" s="162">
        <v>99.96</v>
      </c>
      <c r="I1304" s="162">
        <v>6.9272</v>
      </c>
      <c r="J1304" s="158">
        <v>6858</v>
      </c>
      <c r="K1304" s="158">
        <f t="shared" si="219"/>
        <v>47506.7376</v>
      </c>
      <c r="L1304" s="158"/>
      <c r="M1304" s="158">
        <f t="shared" si="221"/>
        <v>47506.7376</v>
      </c>
      <c r="N1304" s="158"/>
      <c r="O1304" s="158"/>
      <c r="P1304" s="155"/>
    </row>
    <row r="1305" spans="1:16" s="15" customFormat="1" x14ac:dyDescent="0.2">
      <c r="A1305" t="s">
        <v>1681</v>
      </c>
      <c r="B1305" t="s">
        <v>1401</v>
      </c>
      <c r="C1305" s="124" t="s">
        <v>28</v>
      </c>
      <c r="D1305" s="138" t="s">
        <v>1888</v>
      </c>
      <c r="E1305" s="139" t="s">
        <v>30</v>
      </c>
      <c r="F1305" s="161" t="s">
        <v>31</v>
      </c>
      <c r="G1305" s="139" t="s">
        <v>28</v>
      </c>
      <c r="H1305" s="162">
        <v>1.22</v>
      </c>
      <c r="I1305" s="162">
        <v>8.4545999999999996E-2</v>
      </c>
      <c r="J1305" s="158">
        <v>106655</v>
      </c>
      <c r="K1305" s="158">
        <f t="shared" si="219"/>
        <v>9017.2536299999992</v>
      </c>
      <c r="L1305" s="158"/>
      <c r="M1305" s="158">
        <f t="shared" si="221"/>
        <v>9017.2536299999992</v>
      </c>
      <c r="N1305" s="158"/>
      <c r="O1305" s="158"/>
      <c r="P1305" s="155"/>
    </row>
    <row r="1306" spans="1:16" s="16" customFormat="1" x14ac:dyDescent="0.2">
      <c r="A1306" t="s">
        <v>1681</v>
      </c>
      <c r="B1306" t="s">
        <v>1401</v>
      </c>
      <c r="C1306" s="16" t="s">
        <v>1723</v>
      </c>
      <c r="D1306" s="142" t="s">
        <v>1889</v>
      </c>
      <c r="E1306" s="143" t="s">
        <v>1797</v>
      </c>
      <c r="F1306" s="164" t="s">
        <v>1798</v>
      </c>
      <c r="G1306" s="143" t="s">
        <v>420</v>
      </c>
      <c r="H1306" s="165">
        <v>101.5</v>
      </c>
      <c r="I1306" s="165">
        <v>7.0339</v>
      </c>
      <c r="J1306" s="158">
        <v>544643</v>
      </c>
      <c r="K1306" s="158">
        <f t="shared" si="219"/>
        <v>3830964.3977000001</v>
      </c>
      <c r="L1306" s="158"/>
      <c r="M1306" s="158"/>
      <c r="N1306" s="158">
        <f t="shared" ref="N1306:N1318" si="222">+J1306*I1306</f>
        <v>3830964.3977000001</v>
      </c>
      <c r="O1306" s="158"/>
      <c r="P1306" s="156"/>
    </row>
    <row r="1307" spans="1:16" s="16" customFormat="1" x14ac:dyDescent="0.2">
      <c r="A1307" t="s">
        <v>1681</v>
      </c>
      <c r="B1307" t="s">
        <v>1401</v>
      </c>
      <c r="C1307" s="16" t="s">
        <v>1723</v>
      </c>
      <c r="D1307" s="142" t="s">
        <v>1890</v>
      </c>
      <c r="E1307" s="143" t="s">
        <v>124</v>
      </c>
      <c r="F1307" s="164" t="s">
        <v>125</v>
      </c>
      <c r="G1307" s="143" t="s">
        <v>107</v>
      </c>
      <c r="H1307" s="165">
        <v>2.4E-2</v>
      </c>
      <c r="I1307" s="165">
        <v>1.663E-3</v>
      </c>
      <c r="J1307" s="158">
        <v>9500000</v>
      </c>
      <c r="K1307" s="158">
        <f t="shared" si="219"/>
        <v>15798.5</v>
      </c>
      <c r="L1307" s="158"/>
      <c r="M1307" s="158"/>
      <c r="N1307" s="158">
        <f t="shared" si="222"/>
        <v>15798.5</v>
      </c>
      <c r="O1307" s="158"/>
      <c r="P1307" s="156"/>
    </row>
    <row r="1308" spans="1:16" s="16" customFormat="1" x14ac:dyDescent="0.2">
      <c r="A1308" t="s">
        <v>1681</v>
      </c>
      <c r="B1308" t="s">
        <v>1401</v>
      </c>
      <c r="C1308" s="16" t="s">
        <v>1723</v>
      </c>
      <c r="D1308" s="142" t="s">
        <v>1891</v>
      </c>
      <c r="E1308" s="143" t="s">
        <v>1185</v>
      </c>
      <c r="F1308" s="164" t="s">
        <v>1186</v>
      </c>
      <c r="G1308" s="143" t="s">
        <v>107</v>
      </c>
      <c r="H1308" s="165">
        <v>0.1</v>
      </c>
      <c r="I1308" s="165">
        <v>6.9300000000000004E-3</v>
      </c>
      <c r="J1308" s="158">
        <v>7812501</v>
      </c>
      <c r="K1308" s="158">
        <f t="shared" si="219"/>
        <v>54140.631930000003</v>
      </c>
      <c r="L1308" s="158"/>
      <c r="M1308" s="158"/>
      <c r="N1308" s="158">
        <f t="shared" si="222"/>
        <v>54140.631930000003</v>
      </c>
      <c r="O1308" s="158"/>
      <c r="P1308" s="156"/>
    </row>
    <row r="1309" spans="1:16" s="16" customFormat="1" x14ac:dyDescent="0.2">
      <c r="A1309" t="s">
        <v>1681</v>
      </c>
      <c r="B1309" t="s">
        <v>1401</v>
      </c>
      <c r="C1309" s="16" t="s">
        <v>1723</v>
      </c>
      <c r="D1309" s="142" t="s">
        <v>1892</v>
      </c>
      <c r="E1309" s="143" t="s">
        <v>693</v>
      </c>
      <c r="F1309" s="164" t="s">
        <v>694</v>
      </c>
      <c r="G1309" s="143" t="s">
        <v>107</v>
      </c>
      <c r="H1309" s="165">
        <v>0.12</v>
      </c>
      <c r="I1309" s="165">
        <v>8.3160000000000005E-3</v>
      </c>
      <c r="J1309" s="158">
        <v>11250000</v>
      </c>
      <c r="K1309" s="158">
        <f t="shared" si="219"/>
        <v>93555</v>
      </c>
      <c r="L1309" s="158"/>
      <c r="M1309" s="158"/>
      <c r="N1309" s="158">
        <f t="shared" si="222"/>
        <v>93555</v>
      </c>
      <c r="O1309" s="158"/>
      <c r="P1309" s="156"/>
    </row>
    <row r="1310" spans="1:16" s="16" customFormat="1" ht="24" x14ac:dyDescent="0.2">
      <c r="A1310" t="s">
        <v>1681</v>
      </c>
      <c r="B1310" t="s">
        <v>1401</v>
      </c>
      <c r="C1310" s="16" t="s">
        <v>1723</v>
      </c>
      <c r="D1310" s="142" t="s">
        <v>1893</v>
      </c>
      <c r="E1310" s="143" t="s">
        <v>1838</v>
      </c>
      <c r="F1310" s="164" t="s">
        <v>1839</v>
      </c>
      <c r="G1310" s="143" t="s">
        <v>420</v>
      </c>
      <c r="H1310" s="165">
        <v>0.6</v>
      </c>
      <c r="I1310" s="165">
        <v>4.1579999999999999E-2</v>
      </c>
      <c r="J1310" s="158">
        <v>4107143</v>
      </c>
      <c r="K1310" s="158">
        <f t="shared" si="219"/>
        <v>170775.00594</v>
      </c>
      <c r="L1310" s="158"/>
      <c r="M1310" s="158"/>
      <c r="N1310" s="158">
        <f t="shared" si="222"/>
        <v>170775.00594</v>
      </c>
      <c r="O1310" s="158"/>
      <c r="P1310" s="156"/>
    </row>
    <row r="1311" spans="1:16" s="16" customFormat="1" ht="24" x14ac:dyDescent="0.2">
      <c r="A1311" t="s">
        <v>1681</v>
      </c>
      <c r="B1311" t="s">
        <v>1401</v>
      </c>
      <c r="C1311" s="16" t="s">
        <v>1723</v>
      </c>
      <c r="D1311" s="142" t="s">
        <v>1894</v>
      </c>
      <c r="E1311" s="143" t="s">
        <v>1776</v>
      </c>
      <c r="F1311" s="164" t="s">
        <v>1777</v>
      </c>
      <c r="G1311" s="143" t="s">
        <v>420</v>
      </c>
      <c r="H1311" s="165">
        <v>1.83</v>
      </c>
      <c r="I1311" s="165">
        <v>0.12681899999999999</v>
      </c>
      <c r="J1311" s="158">
        <v>4107143</v>
      </c>
      <c r="K1311" s="158">
        <f t="shared" si="219"/>
        <v>520863.76811699994</v>
      </c>
      <c r="L1311" s="158"/>
      <c r="M1311" s="158"/>
      <c r="N1311" s="158">
        <f t="shared" si="222"/>
        <v>520863.76811699994</v>
      </c>
      <c r="O1311" s="158"/>
      <c r="P1311" s="156"/>
    </row>
    <row r="1312" spans="1:16" s="16" customFormat="1" x14ac:dyDescent="0.2">
      <c r="A1312" t="s">
        <v>1681</v>
      </c>
      <c r="B1312" t="s">
        <v>1401</v>
      </c>
      <c r="C1312" s="16" t="s">
        <v>1723</v>
      </c>
      <c r="D1312" s="142" t="s">
        <v>1895</v>
      </c>
      <c r="E1312" s="143" t="s">
        <v>1808</v>
      </c>
      <c r="F1312" s="164" t="s">
        <v>1809</v>
      </c>
      <c r="G1312" s="143" t="s">
        <v>38</v>
      </c>
      <c r="H1312" s="165">
        <v>97.4</v>
      </c>
      <c r="I1312" s="165">
        <v>6.7497999999999996</v>
      </c>
      <c r="J1312" s="158">
        <v>102678</v>
      </c>
      <c r="K1312" s="158">
        <f t="shared" si="219"/>
        <v>693055.96439999994</v>
      </c>
      <c r="L1312" s="158"/>
      <c r="M1312" s="158"/>
      <c r="N1312" s="158">
        <f t="shared" si="222"/>
        <v>693055.96439999994</v>
      </c>
      <c r="O1312" s="158"/>
      <c r="P1312" s="156"/>
    </row>
    <row r="1313" spans="1:17" s="1" customFormat="1" x14ac:dyDescent="0.2">
      <c r="A1313" t="s">
        <v>1681</v>
      </c>
      <c r="B1313" t="s">
        <v>1401</v>
      </c>
      <c r="C1313" s="16" t="s">
        <v>1723</v>
      </c>
      <c r="D1313" s="130" t="s">
        <v>569</v>
      </c>
      <c r="E1313" s="131" t="s">
        <v>1781</v>
      </c>
      <c r="F1313" s="131" t="s">
        <v>1810</v>
      </c>
      <c r="G1313" s="132" t="s">
        <v>107</v>
      </c>
      <c r="H1313" s="159">
        <v>1.7999999999999999E-2</v>
      </c>
      <c r="I1313" s="159">
        <f t="shared" ref="I1313:I1318" si="223">+H1313</f>
        <v>1.7999999999999999E-2</v>
      </c>
      <c r="J1313" s="166">
        <v>7812501</v>
      </c>
      <c r="K1313" s="166">
        <f t="shared" si="219"/>
        <v>140625.01799999998</v>
      </c>
      <c r="L1313" s="158"/>
      <c r="M1313" s="158"/>
      <c r="N1313" s="166">
        <f t="shared" si="222"/>
        <v>140625.01799999998</v>
      </c>
      <c r="O1313" s="158"/>
      <c r="P1313" s="153"/>
    </row>
    <row r="1314" spans="1:17" s="1" customFormat="1" x14ac:dyDescent="0.2">
      <c r="A1314" t="s">
        <v>1681</v>
      </c>
      <c r="B1314" t="s">
        <v>1401</v>
      </c>
      <c r="C1314" s="16" t="s">
        <v>1723</v>
      </c>
      <c r="D1314" s="130" t="s">
        <v>577</v>
      </c>
      <c r="E1314" s="131" t="s">
        <v>1781</v>
      </c>
      <c r="F1314" s="131" t="s">
        <v>1782</v>
      </c>
      <c r="G1314" s="132" t="s">
        <v>107</v>
      </c>
      <c r="H1314" s="159">
        <v>0.61450000000000005</v>
      </c>
      <c r="I1314" s="159">
        <f t="shared" si="223"/>
        <v>0.61450000000000005</v>
      </c>
      <c r="J1314" s="166">
        <v>8482143</v>
      </c>
      <c r="K1314" s="166">
        <f t="shared" si="219"/>
        <v>5212276.8735000007</v>
      </c>
      <c r="L1314" s="158"/>
      <c r="M1314" s="158"/>
      <c r="N1314" s="166">
        <f t="shared" si="222"/>
        <v>5212276.8735000007</v>
      </c>
      <c r="O1314" s="158"/>
      <c r="P1314" s="153"/>
    </row>
    <row r="1315" spans="1:17" s="1" customFormat="1" x14ac:dyDescent="0.2">
      <c r="A1315" t="s">
        <v>1681</v>
      </c>
      <c r="B1315" t="s">
        <v>1401</v>
      </c>
      <c r="C1315" s="16" t="s">
        <v>1723</v>
      </c>
      <c r="D1315" s="130" t="s">
        <v>584</v>
      </c>
      <c r="E1315" s="131" t="s">
        <v>1843</v>
      </c>
      <c r="F1315" s="131" t="s">
        <v>1844</v>
      </c>
      <c r="G1315" s="132" t="s">
        <v>42</v>
      </c>
      <c r="H1315" s="159">
        <v>346</v>
      </c>
      <c r="I1315" s="159">
        <f t="shared" si="223"/>
        <v>346</v>
      </c>
      <c r="J1315" s="166">
        <v>196.42857142857142</v>
      </c>
      <c r="K1315" s="166">
        <f t="shared" si="219"/>
        <v>67964.28571428571</v>
      </c>
      <c r="L1315" s="158"/>
      <c r="M1315" s="158"/>
      <c r="N1315" s="166">
        <f t="shared" si="222"/>
        <v>67964.28571428571</v>
      </c>
      <c r="O1315" s="158"/>
      <c r="P1315" s="153"/>
    </row>
    <row r="1316" spans="1:17" s="1" customFormat="1" x14ac:dyDescent="0.2">
      <c r="A1316" t="s">
        <v>1681</v>
      </c>
      <c r="B1316" t="s">
        <v>1401</v>
      </c>
      <c r="C1316" s="16" t="s">
        <v>1723</v>
      </c>
      <c r="D1316" s="130" t="s">
        <v>587</v>
      </c>
      <c r="E1316" s="131" t="s">
        <v>1843</v>
      </c>
      <c r="F1316" s="131" t="s">
        <v>1896</v>
      </c>
      <c r="G1316" s="132" t="s">
        <v>107</v>
      </c>
      <c r="H1316" s="159">
        <v>7.1400000000000005E-2</v>
      </c>
      <c r="I1316" s="159">
        <f t="shared" si="223"/>
        <v>7.1400000000000005E-2</v>
      </c>
      <c r="J1316" s="166">
        <v>13392857</v>
      </c>
      <c r="K1316" s="166">
        <f t="shared" si="219"/>
        <v>956249.9898000001</v>
      </c>
      <c r="L1316" s="158"/>
      <c r="M1316" s="158"/>
      <c r="N1316" s="166">
        <f t="shared" si="222"/>
        <v>956249.9898000001</v>
      </c>
      <c r="O1316" s="158"/>
      <c r="P1316" s="153"/>
    </row>
    <row r="1317" spans="1:17" s="1" customFormat="1" x14ac:dyDescent="0.2">
      <c r="A1317" t="s">
        <v>1681</v>
      </c>
      <c r="B1317" t="s">
        <v>1401</v>
      </c>
      <c r="C1317" s="16" t="s">
        <v>1723</v>
      </c>
      <c r="D1317" s="130" t="s">
        <v>595</v>
      </c>
      <c r="E1317" s="131" t="s">
        <v>1843</v>
      </c>
      <c r="F1317" s="131" t="s">
        <v>1897</v>
      </c>
      <c r="G1317" s="132" t="s">
        <v>107</v>
      </c>
      <c r="H1317" s="159">
        <v>1.1299999999999999E-2</v>
      </c>
      <c r="I1317" s="159">
        <f t="shared" si="223"/>
        <v>1.1299999999999999E-2</v>
      </c>
      <c r="J1317" s="166">
        <v>8660714</v>
      </c>
      <c r="K1317" s="166">
        <f t="shared" si="219"/>
        <v>97866.068199999994</v>
      </c>
      <c r="L1317" s="158"/>
      <c r="M1317" s="158"/>
      <c r="N1317" s="166">
        <f t="shared" si="222"/>
        <v>97866.068199999994</v>
      </c>
      <c r="O1317" s="158"/>
      <c r="P1317" s="153"/>
    </row>
    <row r="1318" spans="1:17" s="1" customFormat="1" x14ac:dyDescent="0.2">
      <c r="A1318" t="s">
        <v>1681</v>
      </c>
      <c r="B1318" t="s">
        <v>1401</v>
      </c>
      <c r="C1318" s="16" t="s">
        <v>1723</v>
      </c>
      <c r="D1318" s="130" t="s">
        <v>599</v>
      </c>
      <c r="E1318" s="131" t="s">
        <v>1843</v>
      </c>
      <c r="F1318" s="131" t="s">
        <v>1898</v>
      </c>
      <c r="G1318" s="132" t="s">
        <v>107</v>
      </c>
      <c r="H1318" s="159">
        <v>2.32E-3</v>
      </c>
      <c r="I1318" s="159">
        <f t="shared" si="223"/>
        <v>2.32E-3</v>
      </c>
      <c r="J1318" s="166">
        <v>15402000</v>
      </c>
      <c r="K1318" s="166">
        <f t="shared" si="219"/>
        <v>35732.639999999999</v>
      </c>
      <c r="L1318" s="158"/>
      <c r="M1318" s="158"/>
      <c r="N1318" s="166">
        <f t="shared" si="222"/>
        <v>35732.639999999999</v>
      </c>
      <c r="O1318" s="158"/>
      <c r="P1318" s="153"/>
    </row>
    <row r="1319" spans="1:17" ht="15.75" x14ac:dyDescent="0.25">
      <c r="A1319" t="s">
        <v>1681</v>
      </c>
      <c r="B1319" t="s">
        <v>1401</v>
      </c>
      <c r="D1319" s="151" t="s">
        <v>1899</v>
      </c>
      <c r="E1319" s="128"/>
      <c r="F1319" s="163"/>
      <c r="G1319" s="128"/>
      <c r="H1319" s="128"/>
      <c r="I1319" s="128"/>
      <c r="J1319" s="158"/>
      <c r="K1319" s="158"/>
      <c r="L1319" s="158"/>
      <c r="M1319" s="158"/>
      <c r="N1319" s="158"/>
      <c r="O1319" s="158"/>
      <c r="P1319" s="152"/>
    </row>
    <row r="1320" spans="1:17" s="1" customFormat="1" ht="42.75" customHeight="1" x14ac:dyDescent="0.2">
      <c r="A1320" t="s">
        <v>1681</v>
      </c>
      <c r="B1320" t="s">
        <v>1401</v>
      </c>
      <c r="C1320" s="48" t="s">
        <v>1683</v>
      </c>
      <c r="D1320" s="130" t="s">
        <v>604</v>
      </c>
      <c r="E1320" s="131" t="s">
        <v>1826</v>
      </c>
      <c r="F1320" s="131" t="s">
        <v>1827</v>
      </c>
      <c r="G1320" s="132" t="s">
        <v>1692</v>
      </c>
      <c r="H1320" s="159">
        <v>1.66E-2</v>
      </c>
      <c r="I1320" s="159"/>
      <c r="J1320" s="158"/>
      <c r="K1320" s="158"/>
      <c r="L1320" s="158"/>
      <c r="M1320" s="158"/>
      <c r="N1320" s="158"/>
      <c r="O1320" s="158"/>
      <c r="P1320" s="153"/>
      <c r="Q1320" s="35"/>
    </row>
    <row r="1321" spans="1:17" s="14" customFormat="1" x14ac:dyDescent="0.2">
      <c r="A1321" t="s">
        <v>1681</v>
      </c>
      <c r="B1321" t="s">
        <v>1401</v>
      </c>
      <c r="C1321" s="14" t="s">
        <v>24</v>
      </c>
      <c r="D1321" s="134" t="s">
        <v>605</v>
      </c>
      <c r="E1321" s="135" t="s">
        <v>18</v>
      </c>
      <c r="F1321" s="160" t="s">
        <v>23</v>
      </c>
      <c r="G1321" s="135" t="s">
        <v>24</v>
      </c>
      <c r="H1321" s="158">
        <v>758.74</v>
      </c>
      <c r="I1321" s="158">
        <v>12.5951</v>
      </c>
      <c r="J1321" s="158">
        <v>22914.53</v>
      </c>
      <c r="K1321" s="158">
        <f t="shared" ref="K1321:K1339" si="224">+J1321*I1321</f>
        <v>288610.79680299998</v>
      </c>
      <c r="L1321" s="158">
        <f t="shared" ref="L1321:L1322" si="225">+J1321*I1321</f>
        <v>288610.79680299998</v>
      </c>
      <c r="M1321" s="158"/>
      <c r="N1321" s="158"/>
      <c r="O1321" s="158"/>
      <c r="P1321" s="154"/>
    </row>
    <row r="1322" spans="1:17" s="16" customFormat="1" x14ac:dyDescent="0.2">
      <c r="A1322" t="s">
        <v>1681</v>
      </c>
      <c r="B1322" t="s">
        <v>1401</v>
      </c>
      <c r="C1322" s="14" t="s">
        <v>24</v>
      </c>
      <c r="D1322" s="134" t="s">
        <v>606</v>
      </c>
      <c r="E1322" s="135" t="s">
        <v>52</v>
      </c>
      <c r="F1322" s="160" t="s">
        <v>1687</v>
      </c>
      <c r="G1322" s="135" t="s">
        <v>24</v>
      </c>
      <c r="H1322" s="158">
        <v>41.11</v>
      </c>
      <c r="I1322" s="158">
        <v>0.68242599999999998</v>
      </c>
      <c r="J1322" s="158"/>
      <c r="K1322" s="158">
        <f t="shared" si="224"/>
        <v>0</v>
      </c>
      <c r="L1322" s="158">
        <f t="shared" si="225"/>
        <v>0</v>
      </c>
      <c r="M1322" s="158"/>
      <c r="N1322" s="158"/>
      <c r="O1322" s="158"/>
      <c r="P1322" s="156"/>
    </row>
    <row r="1323" spans="1:17" s="15" customFormat="1" x14ac:dyDescent="0.2">
      <c r="A1323" t="s">
        <v>1681</v>
      </c>
      <c r="B1323" t="s">
        <v>1401</v>
      </c>
      <c r="C1323" s="124" t="s">
        <v>28</v>
      </c>
      <c r="D1323" s="138" t="s">
        <v>1900</v>
      </c>
      <c r="E1323" s="139" t="s">
        <v>262</v>
      </c>
      <c r="F1323" s="161" t="s">
        <v>263</v>
      </c>
      <c r="G1323" s="139" t="s">
        <v>28</v>
      </c>
      <c r="H1323" s="162">
        <v>0.27</v>
      </c>
      <c r="I1323" s="162">
        <v>4.4819999999999999E-3</v>
      </c>
      <c r="J1323" s="158">
        <v>140201</v>
      </c>
      <c r="K1323" s="158">
        <f t="shared" si="224"/>
        <v>628.38088199999993</v>
      </c>
      <c r="L1323" s="158"/>
      <c r="M1323" s="158">
        <f t="shared" ref="M1323:M1328" si="226">+J1323*I1323</f>
        <v>628.38088199999993</v>
      </c>
      <c r="N1323" s="158"/>
      <c r="O1323" s="158"/>
      <c r="P1323" s="155"/>
    </row>
    <row r="1324" spans="1:17" s="15" customFormat="1" x14ac:dyDescent="0.2">
      <c r="A1324" t="s">
        <v>1681</v>
      </c>
      <c r="B1324" t="s">
        <v>1401</v>
      </c>
      <c r="C1324" s="124" t="s">
        <v>28</v>
      </c>
      <c r="D1324" s="138" t="s">
        <v>1901</v>
      </c>
      <c r="E1324" s="139" t="s">
        <v>1743</v>
      </c>
      <c r="F1324" s="161" t="s">
        <v>1744</v>
      </c>
      <c r="G1324" s="139" t="s">
        <v>28</v>
      </c>
      <c r="H1324" s="162">
        <v>38.32</v>
      </c>
      <c r="I1324" s="162">
        <v>0.63611200000000001</v>
      </c>
      <c r="J1324" s="158">
        <v>965</v>
      </c>
      <c r="K1324" s="158">
        <f t="shared" si="224"/>
        <v>613.84807999999998</v>
      </c>
      <c r="L1324" s="158"/>
      <c r="M1324" s="158">
        <f t="shared" si="226"/>
        <v>613.84807999999998</v>
      </c>
      <c r="N1324" s="158"/>
      <c r="O1324" s="158"/>
      <c r="P1324" s="155"/>
    </row>
    <row r="1325" spans="1:17" s="15" customFormat="1" ht="24" x14ac:dyDescent="0.2">
      <c r="A1325" t="s">
        <v>1681</v>
      </c>
      <c r="B1325" t="s">
        <v>1401</v>
      </c>
      <c r="C1325" s="124" t="s">
        <v>28</v>
      </c>
      <c r="D1325" s="138" t="s">
        <v>1902</v>
      </c>
      <c r="E1325" s="139" t="s">
        <v>876</v>
      </c>
      <c r="F1325" s="161" t="s">
        <v>877</v>
      </c>
      <c r="G1325" s="139" t="s">
        <v>28</v>
      </c>
      <c r="H1325" s="162">
        <v>39.619999999999997</v>
      </c>
      <c r="I1325" s="162">
        <v>0.65769200000000005</v>
      </c>
      <c r="J1325" s="158">
        <v>239461</v>
      </c>
      <c r="K1325" s="158">
        <f t="shared" si="224"/>
        <v>157491.58401200001</v>
      </c>
      <c r="L1325" s="158"/>
      <c r="M1325" s="158">
        <f t="shared" si="226"/>
        <v>157491.58401200001</v>
      </c>
      <c r="N1325" s="158"/>
      <c r="O1325" s="158"/>
      <c r="P1325" s="155"/>
    </row>
    <row r="1326" spans="1:17" s="15" customFormat="1" x14ac:dyDescent="0.2">
      <c r="A1326" t="s">
        <v>1681</v>
      </c>
      <c r="B1326" t="s">
        <v>1401</v>
      </c>
      <c r="C1326" s="124" t="s">
        <v>28</v>
      </c>
      <c r="D1326" s="138" t="s">
        <v>1903</v>
      </c>
      <c r="E1326" s="139" t="s">
        <v>1767</v>
      </c>
      <c r="F1326" s="161" t="s">
        <v>1768</v>
      </c>
      <c r="G1326" s="139" t="s">
        <v>28</v>
      </c>
      <c r="H1326" s="162">
        <v>1.51</v>
      </c>
      <c r="I1326" s="162">
        <v>2.5066000000000001E-2</v>
      </c>
      <c r="J1326" s="158">
        <v>1349</v>
      </c>
      <c r="K1326" s="158">
        <f t="shared" si="224"/>
        <v>33.814033999999999</v>
      </c>
      <c r="L1326" s="158"/>
      <c r="M1326" s="158">
        <f t="shared" si="226"/>
        <v>33.814033999999999</v>
      </c>
      <c r="N1326" s="158"/>
      <c r="O1326" s="158"/>
      <c r="P1326" s="155"/>
    </row>
    <row r="1327" spans="1:17" s="15" customFormat="1" x14ac:dyDescent="0.2">
      <c r="A1327" t="s">
        <v>1681</v>
      </c>
      <c r="B1327" t="s">
        <v>1401</v>
      </c>
      <c r="C1327" s="124" t="s">
        <v>28</v>
      </c>
      <c r="D1327" s="138" t="s">
        <v>1904</v>
      </c>
      <c r="E1327" s="139" t="s">
        <v>98</v>
      </c>
      <c r="F1327" s="161" t="s">
        <v>99</v>
      </c>
      <c r="G1327" s="139" t="s">
        <v>28</v>
      </c>
      <c r="H1327" s="162">
        <v>99.96</v>
      </c>
      <c r="I1327" s="162">
        <v>1.6593</v>
      </c>
      <c r="J1327" s="158">
        <v>6858</v>
      </c>
      <c r="K1327" s="158">
        <f t="shared" si="224"/>
        <v>11379.4794</v>
      </c>
      <c r="L1327" s="158"/>
      <c r="M1327" s="158">
        <f t="shared" si="226"/>
        <v>11379.4794</v>
      </c>
      <c r="N1327" s="158"/>
      <c r="O1327" s="158"/>
      <c r="P1327" s="155"/>
    </row>
    <row r="1328" spans="1:17" s="15" customFormat="1" x14ac:dyDescent="0.2">
      <c r="A1328" t="s">
        <v>1681</v>
      </c>
      <c r="B1328" t="s">
        <v>1401</v>
      </c>
      <c r="C1328" s="124" t="s">
        <v>28</v>
      </c>
      <c r="D1328" s="138" t="s">
        <v>1905</v>
      </c>
      <c r="E1328" s="139" t="s">
        <v>30</v>
      </c>
      <c r="F1328" s="161" t="s">
        <v>31</v>
      </c>
      <c r="G1328" s="139" t="s">
        <v>28</v>
      </c>
      <c r="H1328" s="162">
        <v>1.22</v>
      </c>
      <c r="I1328" s="162">
        <v>2.0251999999999999E-2</v>
      </c>
      <c r="J1328" s="158">
        <v>106655</v>
      </c>
      <c r="K1328" s="158">
        <f t="shared" si="224"/>
        <v>2159.9770599999997</v>
      </c>
      <c r="L1328" s="158"/>
      <c r="M1328" s="158">
        <f t="shared" si="226"/>
        <v>2159.9770599999997</v>
      </c>
      <c r="N1328" s="158"/>
      <c r="O1328" s="158"/>
      <c r="P1328" s="155"/>
    </row>
    <row r="1329" spans="1:17" s="16" customFormat="1" x14ac:dyDescent="0.2">
      <c r="A1329" t="s">
        <v>1681</v>
      </c>
      <c r="B1329" t="s">
        <v>1401</v>
      </c>
      <c r="C1329" s="16" t="s">
        <v>1723</v>
      </c>
      <c r="D1329" s="142" t="s">
        <v>1906</v>
      </c>
      <c r="E1329" s="143" t="s">
        <v>1797</v>
      </c>
      <c r="F1329" s="164" t="s">
        <v>1798</v>
      </c>
      <c r="G1329" s="143" t="s">
        <v>420</v>
      </c>
      <c r="H1329" s="165">
        <v>101.5</v>
      </c>
      <c r="I1329" s="165">
        <v>1.6849000000000001</v>
      </c>
      <c r="J1329" s="158">
        <v>544643</v>
      </c>
      <c r="K1329" s="158">
        <f t="shared" si="224"/>
        <v>917668.99070000008</v>
      </c>
      <c r="L1329" s="158"/>
      <c r="M1329" s="158"/>
      <c r="N1329" s="158">
        <f t="shared" ref="N1329:N1339" si="227">+J1329*I1329</f>
        <v>917668.99070000008</v>
      </c>
      <c r="O1329" s="158"/>
      <c r="P1329" s="156"/>
    </row>
    <row r="1330" spans="1:17" s="16" customFormat="1" x14ac:dyDescent="0.2">
      <c r="A1330" t="s">
        <v>1681</v>
      </c>
      <c r="B1330" t="s">
        <v>1401</v>
      </c>
      <c r="C1330" s="16" t="s">
        <v>1723</v>
      </c>
      <c r="D1330" s="142" t="s">
        <v>1907</v>
      </c>
      <c r="E1330" s="143" t="s">
        <v>124</v>
      </c>
      <c r="F1330" s="164" t="s">
        <v>125</v>
      </c>
      <c r="G1330" s="143" t="s">
        <v>107</v>
      </c>
      <c r="H1330" s="165">
        <v>2.4E-2</v>
      </c>
      <c r="I1330" s="165">
        <v>3.9800000000000002E-4</v>
      </c>
      <c r="J1330" s="158">
        <v>9500000</v>
      </c>
      <c r="K1330" s="158">
        <f t="shared" si="224"/>
        <v>3781.0000000000005</v>
      </c>
      <c r="L1330" s="158"/>
      <c r="M1330" s="158"/>
      <c r="N1330" s="158">
        <f t="shared" si="227"/>
        <v>3781.0000000000005</v>
      </c>
      <c r="O1330" s="158"/>
      <c r="P1330" s="156"/>
    </row>
    <row r="1331" spans="1:17" s="16" customFormat="1" x14ac:dyDescent="0.2">
      <c r="A1331" t="s">
        <v>1681</v>
      </c>
      <c r="B1331" t="s">
        <v>1401</v>
      </c>
      <c r="C1331" s="16" t="s">
        <v>1723</v>
      </c>
      <c r="D1331" s="142" t="s">
        <v>1908</v>
      </c>
      <c r="E1331" s="143" t="s">
        <v>195</v>
      </c>
      <c r="F1331" s="164" t="s">
        <v>196</v>
      </c>
      <c r="G1331" s="143" t="s">
        <v>107</v>
      </c>
      <c r="H1331" s="165">
        <v>4.9000000000000002E-2</v>
      </c>
      <c r="I1331" s="165">
        <v>8.1300000000000003E-4</v>
      </c>
      <c r="J1331" s="158">
        <v>300000</v>
      </c>
      <c r="K1331" s="158">
        <f t="shared" si="224"/>
        <v>243.9</v>
      </c>
      <c r="L1331" s="158"/>
      <c r="M1331" s="158"/>
      <c r="N1331" s="158">
        <f t="shared" si="227"/>
        <v>243.9</v>
      </c>
      <c r="O1331" s="158"/>
      <c r="P1331" s="156"/>
    </row>
    <row r="1332" spans="1:17" s="16" customFormat="1" x14ac:dyDescent="0.2">
      <c r="A1332" t="s">
        <v>1681</v>
      </c>
      <c r="B1332" t="s">
        <v>1401</v>
      </c>
      <c r="C1332" s="16" t="s">
        <v>1723</v>
      </c>
      <c r="D1332" s="142" t="s">
        <v>1909</v>
      </c>
      <c r="E1332" s="143" t="s">
        <v>1185</v>
      </c>
      <c r="F1332" s="164" t="s">
        <v>1186</v>
      </c>
      <c r="G1332" s="143" t="s">
        <v>107</v>
      </c>
      <c r="H1332" s="165">
        <v>0.1</v>
      </c>
      <c r="I1332" s="165">
        <v>1.66E-3</v>
      </c>
      <c r="J1332" s="158">
        <v>7812501</v>
      </c>
      <c r="K1332" s="158">
        <f t="shared" si="224"/>
        <v>12968.75166</v>
      </c>
      <c r="L1332" s="158"/>
      <c r="M1332" s="158"/>
      <c r="N1332" s="158">
        <f t="shared" si="227"/>
        <v>12968.75166</v>
      </c>
      <c r="O1332" s="158"/>
      <c r="P1332" s="156"/>
    </row>
    <row r="1333" spans="1:17" s="16" customFormat="1" x14ac:dyDescent="0.2">
      <c r="A1333" t="s">
        <v>1681</v>
      </c>
      <c r="B1333" t="s">
        <v>1401</v>
      </c>
      <c r="C1333" s="16" t="s">
        <v>1723</v>
      </c>
      <c r="D1333" s="142" t="s">
        <v>1910</v>
      </c>
      <c r="E1333" s="143" t="s">
        <v>693</v>
      </c>
      <c r="F1333" s="164" t="s">
        <v>694</v>
      </c>
      <c r="G1333" s="143" t="s">
        <v>107</v>
      </c>
      <c r="H1333" s="165">
        <v>0.12</v>
      </c>
      <c r="I1333" s="165">
        <v>1.9919999999999998E-3</v>
      </c>
      <c r="J1333" s="158">
        <v>11250000</v>
      </c>
      <c r="K1333" s="158">
        <f t="shared" si="224"/>
        <v>22410</v>
      </c>
      <c r="L1333" s="158"/>
      <c r="M1333" s="158"/>
      <c r="N1333" s="158">
        <f t="shared" si="227"/>
        <v>22410</v>
      </c>
      <c r="O1333" s="158"/>
      <c r="P1333" s="156"/>
    </row>
    <row r="1334" spans="1:17" s="16" customFormat="1" ht="24" x14ac:dyDescent="0.2">
      <c r="A1334" t="s">
        <v>1681</v>
      </c>
      <c r="B1334" t="s">
        <v>1401</v>
      </c>
      <c r="C1334" s="16" t="s">
        <v>1723</v>
      </c>
      <c r="D1334" s="142" t="s">
        <v>1911</v>
      </c>
      <c r="E1334" s="143" t="s">
        <v>1838</v>
      </c>
      <c r="F1334" s="164" t="s">
        <v>1839</v>
      </c>
      <c r="G1334" s="143" t="s">
        <v>420</v>
      </c>
      <c r="H1334" s="165">
        <v>0.6</v>
      </c>
      <c r="I1334" s="165">
        <v>9.9600000000000001E-3</v>
      </c>
      <c r="J1334" s="158">
        <v>4107143</v>
      </c>
      <c r="K1334" s="158">
        <f t="shared" si="224"/>
        <v>40907.14428</v>
      </c>
      <c r="L1334" s="158"/>
      <c r="M1334" s="158"/>
      <c r="N1334" s="158">
        <f t="shared" si="227"/>
        <v>40907.14428</v>
      </c>
      <c r="O1334" s="158"/>
      <c r="P1334" s="156"/>
    </row>
    <row r="1335" spans="1:17" s="16" customFormat="1" ht="24" x14ac:dyDescent="0.2">
      <c r="A1335" t="s">
        <v>1681</v>
      </c>
      <c r="B1335" t="s">
        <v>1401</v>
      </c>
      <c r="C1335" s="16" t="s">
        <v>1723</v>
      </c>
      <c r="D1335" s="142" t="s">
        <v>1912</v>
      </c>
      <c r="E1335" s="143" t="s">
        <v>1776</v>
      </c>
      <c r="F1335" s="164" t="s">
        <v>1777</v>
      </c>
      <c r="G1335" s="143" t="s">
        <v>420</v>
      </c>
      <c r="H1335" s="165">
        <v>1.83</v>
      </c>
      <c r="I1335" s="165">
        <v>3.0377999999999999E-2</v>
      </c>
      <c r="J1335" s="158">
        <v>4107143</v>
      </c>
      <c r="K1335" s="158">
        <f t="shared" si="224"/>
        <v>124766.790054</v>
      </c>
      <c r="L1335" s="158"/>
      <c r="M1335" s="158"/>
      <c r="N1335" s="158">
        <f t="shared" si="227"/>
        <v>124766.790054</v>
      </c>
      <c r="O1335" s="158"/>
      <c r="P1335" s="156"/>
    </row>
    <row r="1336" spans="1:17" s="16" customFormat="1" x14ac:dyDescent="0.2">
      <c r="A1336" t="s">
        <v>1681</v>
      </c>
      <c r="B1336" t="s">
        <v>1401</v>
      </c>
      <c r="C1336" s="16" t="s">
        <v>1723</v>
      </c>
      <c r="D1336" s="142" t="s">
        <v>1913</v>
      </c>
      <c r="E1336" s="143" t="s">
        <v>1808</v>
      </c>
      <c r="F1336" s="164" t="s">
        <v>1809</v>
      </c>
      <c r="G1336" s="143" t="s">
        <v>38</v>
      </c>
      <c r="H1336" s="165">
        <v>97.4</v>
      </c>
      <c r="I1336" s="165">
        <v>1.6168</v>
      </c>
      <c r="J1336" s="158">
        <v>102678</v>
      </c>
      <c r="K1336" s="158">
        <f t="shared" si="224"/>
        <v>166009.7904</v>
      </c>
      <c r="L1336" s="158"/>
      <c r="M1336" s="158"/>
      <c r="N1336" s="158">
        <f t="shared" si="227"/>
        <v>166009.7904</v>
      </c>
      <c r="O1336" s="158"/>
      <c r="P1336" s="156"/>
    </row>
    <row r="1337" spans="1:17" s="1" customFormat="1" x14ac:dyDescent="0.2">
      <c r="A1337" t="s">
        <v>1681</v>
      </c>
      <c r="B1337" t="s">
        <v>1401</v>
      </c>
      <c r="C1337" s="16" t="s">
        <v>1723</v>
      </c>
      <c r="D1337" s="130" t="s">
        <v>607</v>
      </c>
      <c r="E1337" s="131" t="s">
        <v>1781</v>
      </c>
      <c r="F1337" s="131" t="s">
        <v>1810</v>
      </c>
      <c r="G1337" s="132" t="s">
        <v>107</v>
      </c>
      <c r="H1337" s="159">
        <v>4.1999999999999997E-3</v>
      </c>
      <c r="I1337" s="159">
        <f t="shared" ref="I1337:I1339" si="228">+H1337</f>
        <v>4.1999999999999997E-3</v>
      </c>
      <c r="J1337" s="166">
        <v>7812501</v>
      </c>
      <c r="K1337" s="166">
        <f t="shared" si="224"/>
        <v>32812.504199999996</v>
      </c>
      <c r="L1337" s="158"/>
      <c r="M1337" s="158"/>
      <c r="N1337" s="166">
        <f t="shared" si="227"/>
        <v>32812.504199999996</v>
      </c>
      <c r="O1337" s="158"/>
      <c r="P1337" s="153"/>
    </row>
    <row r="1338" spans="1:17" s="1" customFormat="1" x14ac:dyDescent="0.2">
      <c r="A1338" t="s">
        <v>1681</v>
      </c>
      <c r="B1338" t="s">
        <v>1401</v>
      </c>
      <c r="C1338" s="16" t="s">
        <v>1723</v>
      </c>
      <c r="D1338" s="130" t="s">
        <v>610</v>
      </c>
      <c r="E1338" s="131" t="s">
        <v>1781</v>
      </c>
      <c r="F1338" s="131" t="s">
        <v>1782</v>
      </c>
      <c r="G1338" s="132" t="s">
        <v>107</v>
      </c>
      <c r="H1338" s="159">
        <v>1.0194000000000001</v>
      </c>
      <c r="I1338" s="159">
        <f t="shared" si="228"/>
        <v>1.0194000000000001</v>
      </c>
      <c r="J1338" s="166">
        <v>8482143</v>
      </c>
      <c r="K1338" s="166">
        <f t="shared" si="224"/>
        <v>8646696.5742000006</v>
      </c>
      <c r="L1338" s="158"/>
      <c r="M1338" s="158"/>
      <c r="N1338" s="166">
        <f t="shared" si="227"/>
        <v>8646696.5742000006</v>
      </c>
      <c r="O1338" s="158"/>
      <c r="P1338" s="153"/>
    </row>
    <row r="1339" spans="1:17" s="1" customFormat="1" x14ac:dyDescent="0.2">
      <c r="A1339" t="s">
        <v>1681</v>
      </c>
      <c r="B1339" t="s">
        <v>1401</v>
      </c>
      <c r="C1339" s="16" t="s">
        <v>1723</v>
      </c>
      <c r="D1339" s="130" t="s">
        <v>616</v>
      </c>
      <c r="E1339" s="131" t="s">
        <v>1843</v>
      </c>
      <c r="F1339" s="131" t="s">
        <v>1844</v>
      </c>
      <c r="G1339" s="132" t="s">
        <v>42</v>
      </c>
      <c r="H1339" s="159">
        <v>83</v>
      </c>
      <c r="I1339" s="159">
        <f t="shared" si="228"/>
        <v>83</v>
      </c>
      <c r="J1339" s="166">
        <v>196.42857142857142</v>
      </c>
      <c r="K1339" s="166">
        <f t="shared" si="224"/>
        <v>16303.571428571428</v>
      </c>
      <c r="L1339" s="158"/>
      <c r="M1339" s="158"/>
      <c r="N1339" s="166">
        <f t="shared" si="227"/>
        <v>16303.571428571428</v>
      </c>
      <c r="O1339" s="158"/>
      <c r="P1339" s="153"/>
    </row>
    <row r="1340" spans="1:17" s="1" customFormat="1" ht="15" customHeight="1" x14ac:dyDescent="0.2">
      <c r="A1340" t="s">
        <v>1681</v>
      </c>
      <c r="B1340" t="s">
        <v>1401</v>
      </c>
      <c r="C1340" s="1" t="s">
        <v>1683</v>
      </c>
      <c r="D1340" s="130" t="s">
        <v>635</v>
      </c>
      <c r="E1340" s="131" t="s">
        <v>1914</v>
      </c>
      <c r="F1340" s="131" t="s">
        <v>1915</v>
      </c>
      <c r="G1340" s="132" t="s">
        <v>420</v>
      </c>
      <c r="H1340" s="159">
        <v>55.6</v>
      </c>
      <c r="I1340" s="159"/>
      <c r="J1340" s="158"/>
      <c r="K1340" s="158"/>
      <c r="L1340" s="158"/>
      <c r="M1340" s="158"/>
      <c r="N1340" s="158"/>
      <c r="O1340" s="158"/>
      <c r="P1340" s="153"/>
      <c r="Q1340" s="35"/>
    </row>
    <row r="1341" spans="1:17" s="14" customFormat="1" x14ac:dyDescent="0.2">
      <c r="A1341" t="s">
        <v>1681</v>
      </c>
      <c r="B1341" t="s">
        <v>1401</v>
      </c>
      <c r="C1341" s="14" t="s">
        <v>24</v>
      </c>
      <c r="D1341" s="134" t="s">
        <v>639</v>
      </c>
      <c r="E1341" s="135" t="s">
        <v>18</v>
      </c>
      <c r="F1341" s="160" t="s">
        <v>23</v>
      </c>
      <c r="G1341" s="135" t="s">
        <v>24</v>
      </c>
      <c r="H1341" s="158">
        <v>2.5</v>
      </c>
      <c r="I1341" s="158">
        <v>139</v>
      </c>
      <c r="J1341" s="158">
        <v>22914.53</v>
      </c>
      <c r="K1341" s="158">
        <f t="shared" ref="K1341:K1345" si="229">+J1341*I1341</f>
        <v>3185119.67</v>
      </c>
      <c r="L1341" s="158">
        <f t="shared" ref="L1341:L1342" si="230">+J1341*I1341</f>
        <v>3185119.67</v>
      </c>
      <c r="M1341" s="158"/>
      <c r="N1341" s="158"/>
      <c r="O1341" s="158"/>
      <c r="P1341" s="154"/>
    </row>
    <row r="1342" spans="1:17" s="16" customFormat="1" x14ac:dyDescent="0.2">
      <c r="A1342" t="s">
        <v>1681</v>
      </c>
      <c r="B1342" t="s">
        <v>1401</v>
      </c>
      <c r="C1342" s="14" t="s">
        <v>24</v>
      </c>
      <c r="D1342" s="134" t="s">
        <v>640</v>
      </c>
      <c r="E1342" s="135" t="s">
        <v>52</v>
      </c>
      <c r="F1342" s="160" t="s">
        <v>1687</v>
      </c>
      <c r="G1342" s="135" t="s">
        <v>24</v>
      </c>
      <c r="H1342" s="158">
        <v>0.08</v>
      </c>
      <c r="I1342" s="158">
        <v>4.4480000000000004</v>
      </c>
      <c r="J1342" s="158"/>
      <c r="K1342" s="158">
        <f t="shared" si="229"/>
        <v>0</v>
      </c>
      <c r="L1342" s="158">
        <f t="shared" si="230"/>
        <v>0</v>
      </c>
      <c r="M1342" s="158"/>
      <c r="N1342" s="158"/>
      <c r="O1342" s="158"/>
      <c r="P1342" s="156"/>
    </row>
    <row r="1343" spans="1:17" s="15" customFormat="1" x14ac:dyDescent="0.2">
      <c r="A1343" t="s">
        <v>1681</v>
      </c>
      <c r="B1343" t="s">
        <v>1401</v>
      </c>
      <c r="C1343" s="124" t="s">
        <v>28</v>
      </c>
      <c r="D1343" s="138" t="s">
        <v>641</v>
      </c>
      <c r="E1343" s="139" t="s">
        <v>1357</v>
      </c>
      <c r="F1343" s="161" t="s">
        <v>1916</v>
      </c>
      <c r="G1343" s="139" t="s">
        <v>28</v>
      </c>
      <c r="H1343" s="162">
        <v>0.08</v>
      </c>
      <c r="I1343" s="162">
        <v>4.4480000000000004</v>
      </c>
      <c r="J1343" s="158">
        <v>130229</v>
      </c>
      <c r="K1343" s="158">
        <f t="shared" si="229"/>
        <v>579258.59200000006</v>
      </c>
      <c r="L1343" s="158"/>
      <c r="M1343" s="158">
        <f t="shared" ref="M1343:M1344" si="231">+J1343*I1343</f>
        <v>579258.59200000006</v>
      </c>
      <c r="N1343" s="158"/>
      <c r="O1343" s="158"/>
      <c r="P1343" s="155"/>
    </row>
    <row r="1344" spans="1:17" s="15" customFormat="1" x14ac:dyDescent="0.2">
      <c r="A1344" t="s">
        <v>1681</v>
      </c>
      <c r="B1344" t="s">
        <v>1401</v>
      </c>
      <c r="C1344" s="124" t="s">
        <v>28</v>
      </c>
      <c r="D1344" s="138" t="s">
        <v>644</v>
      </c>
      <c r="E1344" s="139" t="s">
        <v>1917</v>
      </c>
      <c r="F1344" s="161" t="s">
        <v>1918</v>
      </c>
      <c r="G1344" s="139" t="s">
        <v>28</v>
      </c>
      <c r="H1344" s="162">
        <v>0.92</v>
      </c>
      <c r="I1344" s="162">
        <v>51.152000000000001</v>
      </c>
      <c r="J1344" s="158">
        <v>1270</v>
      </c>
      <c r="K1344" s="158">
        <f t="shared" si="229"/>
        <v>64963.040000000001</v>
      </c>
      <c r="L1344" s="158"/>
      <c r="M1344" s="158">
        <f t="shared" si="231"/>
        <v>64963.040000000001</v>
      </c>
      <c r="N1344" s="158"/>
      <c r="O1344" s="158"/>
      <c r="P1344" s="155"/>
    </row>
    <row r="1345" spans="1:17" s="16" customFormat="1" x14ac:dyDescent="0.2">
      <c r="A1345" t="s">
        <v>1681</v>
      </c>
      <c r="B1345" t="s">
        <v>1401</v>
      </c>
      <c r="C1345" s="16" t="s">
        <v>1723</v>
      </c>
      <c r="D1345" s="142" t="s">
        <v>645</v>
      </c>
      <c r="E1345" s="143" t="s">
        <v>1919</v>
      </c>
      <c r="F1345" s="164" t="s">
        <v>1920</v>
      </c>
      <c r="G1345" s="143" t="s">
        <v>420</v>
      </c>
      <c r="H1345" s="165">
        <v>1.28</v>
      </c>
      <c r="I1345" s="165">
        <v>71.168000000000006</v>
      </c>
      <c r="J1345" s="158">
        <v>25754</v>
      </c>
      <c r="K1345" s="158">
        <f t="shared" si="229"/>
        <v>1832860.6720000003</v>
      </c>
      <c r="L1345" s="158"/>
      <c r="M1345" s="158"/>
      <c r="N1345" s="158">
        <f t="shared" ref="N1345" si="232">+J1345*I1345</f>
        <v>1832860.6720000003</v>
      </c>
      <c r="O1345" s="158"/>
      <c r="P1345" s="156"/>
    </row>
    <row r="1346" spans="1:17" ht="15.75" x14ac:dyDescent="0.25">
      <c r="A1346" t="s">
        <v>1681</v>
      </c>
      <c r="B1346" t="s">
        <v>1401</v>
      </c>
      <c r="D1346" s="151" t="s">
        <v>1921</v>
      </c>
      <c r="E1346" s="128"/>
      <c r="F1346" s="163"/>
      <c r="G1346" s="128"/>
      <c r="H1346" s="128"/>
      <c r="I1346" s="128"/>
      <c r="J1346" s="158"/>
      <c r="K1346" s="158"/>
      <c r="L1346" s="158"/>
      <c r="M1346" s="158"/>
      <c r="N1346" s="158"/>
      <c r="O1346" s="158"/>
      <c r="P1346" s="152"/>
    </row>
    <row r="1347" spans="1:17" s="1" customFormat="1" ht="25.5" x14ac:dyDescent="0.2">
      <c r="A1347" t="s">
        <v>1681</v>
      </c>
      <c r="B1347" t="s">
        <v>1401</v>
      </c>
      <c r="C1347" s="1" t="s">
        <v>1683</v>
      </c>
      <c r="D1347" s="130" t="s">
        <v>667</v>
      </c>
      <c r="E1347" s="131" t="s">
        <v>1922</v>
      </c>
      <c r="F1347" s="131" t="s">
        <v>1923</v>
      </c>
      <c r="G1347" s="132" t="s">
        <v>1692</v>
      </c>
      <c r="H1347" s="159">
        <v>0.34210000000000002</v>
      </c>
      <c r="I1347" s="159"/>
      <c r="J1347" s="158"/>
      <c r="K1347" s="158"/>
      <c r="L1347" s="158"/>
      <c r="M1347" s="158"/>
      <c r="N1347" s="158"/>
      <c r="O1347" s="158"/>
      <c r="P1347" s="153"/>
      <c r="Q1347" s="35"/>
    </row>
    <row r="1348" spans="1:17" s="14" customFormat="1" x14ac:dyDescent="0.2">
      <c r="A1348" t="s">
        <v>1681</v>
      </c>
      <c r="B1348" t="s">
        <v>1401</v>
      </c>
      <c r="C1348" s="14" t="s">
        <v>24</v>
      </c>
      <c r="D1348" s="134" t="s">
        <v>670</v>
      </c>
      <c r="E1348" s="135" t="s">
        <v>18</v>
      </c>
      <c r="F1348" s="160" t="s">
        <v>23</v>
      </c>
      <c r="G1348" s="135" t="s">
        <v>24</v>
      </c>
      <c r="H1348" s="158">
        <v>2412.6</v>
      </c>
      <c r="I1348" s="158">
        <v>825.35050000000001</v>
      </c>
      <c r="J1348" s="158">
        <v>22914.53</v>
      </c>
      <c r="K1348" s="158">
        <f t="shared" ref="K1348:K1370" si="233">+J1348*I1348</f>
        <v>18912518.792764999</v>
      </c>
      <c r="L1348" s="158">
        <f t="shared" ref="L1348:L1349" si="234">+J1348*I1348</f>
        <v>18912518.792764999</v>
      </c>
      <c r="M1348" s="158"/>
      <c r="N1348" s="158"/>
      <c r="O1348" s="158"/>
      <c r="P1348" s="154"/>
    </row>
    <row r="1349" spans="1:17" s="16" customFormat="1" x14ac:dyDescent="0.2">
      <c r="A1349" t="s">
        <v>1681</v>
      </c>
      <c r="B1349" t="s">
        <v>1401</v>
      </c>
      <c r="C1349" s="14" t="s">
        <v>24</v>
      </c>
      <c r="D1349" s="134" t="s">
        <v>671</v>
      </c>
      <c r="E1349" s="135" t="s">
        <v>52</v>
      </c>
      <c r="F1349" s="160" t="s">
        <v>1687</v>
      </c>
      <c r="G1349" s="135" t="s">
        <v>24</v>
      </c>
      <c r="H1349" s="158">
        <v>60.12</v>
      </c>
      <c r="I1349" s="158">
        <v>20.5671</v>
      </c>
      <c r="J1349" s="158"/>
      <c r="K1349" s="158">
        <f t="shared" si="233"/>
        <v>0</v>
      </c>
      <c r="L1349" s="158">
        <f t="shared" si="234"/>
        <v>0</v>
      </c>
      <c r="M1349" s="158"/>
      <c r="N1349" s="158"/>
      <c r="O1349" s="158"/>
      <c r="P1349" s="156"/>
    </row>
    <row r="1350" spans="1:17" s="15" customFormat="1" x14ac:dyDescent="0.2">
      <c r="A1350" t="s">
        <v>1681</v>
      </c>
      <c r="B1350" t="s">
        <v>1401</v>
      </c>
      <c r="C1350" s="124" t="s">
        <v>28</v>
      </c>
      <c r="D1350" s="138" t="s">
        <v>672</v>
      </c>
      <c r="E1350" s="139" t="s">
        <v>262</v>
      </c>
      <c r="F1350" s="161" t="s">
        <v>263</v>
      </c>
      <c r="G1350" s="139" t="s">
        <v>28</v>
      </c>
      <c r="H1350" s="162">
        <v>2.54</v>
      </c>
      <c r="I1350" s="162">
        <v>0.86893399999999998</v>
      </c>
      <c r="J1350" s="158">
        <v>140201</v>
      </c>
      <c r="K1350" s="158">
        <f t="shared" si="233"/>
        <v>121825.41573399999</v>
      </c>
      <c r="L1350" s="158"/>
      <c r="M1350" s="158">
        <f t="shared" ref="M1350:M1356" si="235">+J1350*I1350</f>
        <v>121825.41573399999</v>
      </c>
      <c r="N1350" s="158"/>
      <c r="O1350" s="158"/>
      <c r="P1350" s="155"/>
    </row>
    <row r="1351" spans="1:17" s="15" customFormat="1" x14ac:dyDescent="0.2">
      <c r="A1351" t="s">
        <v>1681</v>
      </c>
      <c r="B1351" t="s">
        <v>1401</v>
      </c>
      <c r="C1351" s="124" t="s">
        <v>28</v>
      </c>
      <c r="D1351" s="138" t="s">
        <v>675</v>
      </c>
      <c r="E1351" s="139" t="s">
        <v>1743</v>
      </c>
      <c r="F1351" s="161" t="s">
        <v>1744</v>
      </c>
      <c r="G1351" s="139" t="s">
        <v>28</v>
      </c>
      <c r="H1351" s="162">
        <v>78</v>
      </c>
      <c r="I1351" s="162">
        <v>26.683800000000002</v>
      </c>
      <c r="J1351" s="158">
        <v>965</v>
      </c>
      <c r="K1351" s="158">
        <f t="shared" si="233"/>
        <v>25749.867000000002</v>
      </c>
      <c r="L1351" s="158"/>
      <c r="M1351" s="158">
        <f t="shared" si="235"/>
        <v>25749.867000000002</v>
      </c>
      <c r="N1351" s="158"/>
      <c r="O1351" s="158"/>
      <c r="P1351" s="155"/>
    </row>
    <row r="1352" spans="1:17" s="15" customFormat="1" x14ac:dyDescent="0.2">
      <c r="A1352" t="s">
        <v>1681</v>
      </c>
      <c r="B1352" t="s">
        <v>1401</v>
      </c>
      <c r="C1352" s="124" t="s">
        <v>28</v>
      </c>
      <c r="D1352" s="138" t="s">
        <v>1924</v>
      </c>
      <c r="E1352" s="139" t="s">
        <v>1079</v>
      </c>
      <c r="F1352" s="161" t="s">
        <v>1080</v>
      </c>
      <c r="G1352" s="139" t="s">
        <v>28</v>
      </c>
      <c r="H1352" s="162">
        <v>51.7</v>
      </c>
      <c r="I1352" s="162">
        <v>17.686599999999999</v>
      </c>
      <c r="J1352" s="158">
        <v>132706</v>
      </c>
      <c r="K1352" s="158">
        <f t="shared" si="233"/>
        <v>2347117.9395999997</v>
      </c>
      <c r="L1352" s="158"/>
      <c r="M1352" s="158">
        <f t="shared" si="235"/>
        <v>2347117.9395999997</v>
      </c>
      <c r="N1352" s="158"/>
      <c r="O1352" s="158"/>
      <c r="P1352" s="155"/>
    </row>
    <row r="1353" spans="1:17" s="15" customFormat="1" ht="24" x14ac:dyDescent="0.2">
      <c r="A1353" t="s">
        <v>1681</v>
      </c>
      <c r="B1353" t="s">
        <v>1401</v>
      </c>
      <c r="C1353" s="124" t="s">
        <v>28</v>
      </c>
      <c r="D1353" s="138" t="s">
        <v>1925</v>
      </c>
      <c r="E1353" s="139" t="s">
        <v>876</v>
      </c>
      <c r="F1353" s="161" t="s">
        <v>877</v>
      </c>
      <c r="G1353" s="139" t="s">
        <v>28</v>
      </c>
      <c r="H1353" s="162">
        <v>2.35</v>
      </c>
      <c r="I1353" s="162">
        <v>0.80393499999999996</v>
      </c>
      <c r="J1353" s="158">
        <v>239461</v>
      </c>
      <c r="K1353" s="158">
        <f t="shared" si="233"/>
        <v>192511.079035</v>
      </c>
      <c r="L1353" s="158"/>
      <c r="M1353" s="158">
        <f t="shared" si="235"/>
        <v>192511.079035</v>
      </c>
      <c r="N1353" s="158"/>
      <c r="O1353" s="158"/>
      <c r="P1353" s="155"/>
    </row>
    <row r="1354" spans="1:17" s="15" customFormat="1" x14ac:dyDescent="0.2">
      <c r="A1354" t="s">
        <v>1681</v>
      </c>
      <c r="B1354" t="s">
        <v>1401</v>
      </c>
      <c r="C1354" s="124" t="s">
        <v>28</v>
      </c>
      <c r="D1354" s="138" t="s">
        <v>1926</v>
      </c>
      <c r="E1354" s="139" t="s">
        <v>1767</v>
      </c>
      <c r="F1354" s="161" t="s">
        <v>1768</v>
      </c>
      <c r="G1354" s="139" t="s">
        <v>28</v>
      </c>
      <c r="H1354" s="162">
        <v>1.21</v>
      </c>
      <c r="I1354" s="162">
        <v>0.413941</v>
      </c>
      <c r="J1354" s="158">
        <v>1349</v>
      </c>
      <c r="K1354" s="158">
        <f t="shared" si="233"/>
        <v>558.40640900000005</v>
      </c>
      <c r="L1354" s="158"/>
      <c r="M1354" s="158">
        <f t="shared" si="235"/>
        <v>558.40640900000005</v>
      </c>
      <c r="N1354" s="158"/>
      <c r="O1354" s="158"/>
      <c r="P1354" s="155"/>
    </row>
    <row r="1355" spans="1:17" s="15" customFormat="1" x14ac:dyDescent="0.2">
      <c r="A1355" t="s">
        <v>1681</v>
      </c>
      <c r="B1355" t="s">
        <v>1401</v>
      </c>
      <c r="C1355" s="124" t="s">
        <v>28</v>
      </c>
      <c r="D1355" s="138" t="s">
        <v>1927</v>
      </c>
      <c r="E1355" s="139" t="s">
        <v>98</v>
      </c>
      <c r="F1355" s="161" t="s">
        <v>99</v>
      </c>
      <c r="G1355" s="139" t="s">
        <v>28</v>
      </c>
      <c r="H1355" s="162">
        <v>13.2</v>
      </c>
      <c r="I1355" s="162">
        <v>4.5156999999999998</v>
      </c>
      <c r="J1355" s="158">
        <v>6858</v>
      </c>
      <c r="K1355" s="158">
        <f t="shared" si="233"/>
        <v>30968.670599999998</v>
      </c>
      <c r="L1355" s="158"/>
      <c r="M1355" s="158">
        <f t="shared" si="235"/>
        <v>30968.670599999998</v>
      </c>
      <c r="N1355" s="158"/>
      <c r="O1355" s="158"/>
      <c r="P1355" s="155"/>
    </row>
    <row r="1356" spans="1:17" s="15" customFormat="1" x14ac:dyDescent="0.2">
      <c r="A1356" t="s">
        <v>1681</v>
      </c>
      <c r="B1356" t="s">
        <v>1401</v>
      </c>
      <c r="C1356" s="124" t="s">
        <v>28</v>
      </c>
      <c r="D1356" s="138" t="s">
        <v>1928</v>
      </c>
      <c r="E1356" s="139" t="s">
        <v>1548</v>
      </c>
      <c r="F1356" s="161" t="s">
        <v>1549</v>
      </c>
      <c r="G1356" s="139" t="s">
        <v>28</v>
      </c>
      <c r="H1356" s="162">
        <v>3.53</v>
      </c>
      <c r="I1356" s="162">
        <v>1.2076</v>
      </c>
      <c r="J1356" s="158">
        <v>138958</v>
      </c>
      <c r="K1356" s="158">
        <f t="shared" si="233"/>
        <v>167805.6808</v>
      </c>
      <c r="L1356" s="158"/>
      <c r="M1356" s="158">
        <f t="shared" si="235"/>
        <v>167805.6808</v>
      </c>
      <c r="N1356" s="158"/>
      <c r="O1356" s="158"/>
      <c r="P1356" s="155"/>
    </row>
    <row r="1357" spans="1:17" s="16" customFormat="1" x14ac:dyDescent="0.2">
      <c r="A1357" t="s">
        <v>1681</v>
      </c>
      <c r="B1357" t="s">
        <v>1401</v>
      </c>
      <c r="C1357" s="16" t="s">
        <v>1723</v>
      </c>
      <c r="D1357" s="142" t="s">
        <v>1929</v>
      </c>
      <c r="E1357" s="143" t="s">
        <v>1797</v>
      </c>
      <c r="F1357" s="164" t="s">
        <v>1798</v>
      </c>
      <c r="G1357" s="143" t="s">
        <v>420</v>
      </c>
      <c r="H1357" s="165">
        <v>101.5</v>
      </c>
      <c r="I1357" s="165">
        <v>34.723199999999999</v>
      </c>
      <c r="J1357" s="158">
        <v>544643</v>
      </c>
      <c r="K1357" s="158">
        <f t="shared" si="233"/>
        <v>18911747.817600001</v>
      </c>
      <c r="L1357" s="158"/>
      <c r="M1357" s="158"/>
      <c r="N1357" s="158">
        <f t="shared" ref="N1357:N1370" si="236">+J1357*I1357</f>
        <v>18911747.817600001</v>
      </c>
      <c r="O1357" s="158"/>
      <c r="P1357" s="156"/>
    </row>
    <row r="1358" spans="1:17" s="16" customFormat="1" x14ac:dyDescent="0.2">
      <c r="A1358" t="s">
        <v>1681</v>
      </c>
      <c r="B1358" t="s">
        <v>1401</v>
      </c>
      <c r="C1358" s="16" t="s">
        <v>1723</v>
      </c>
      <c r="D1358" s="142" t="s">
        <v>1930</v>
      </c>
      <c r="E1358" s="143" t="s">
        <v>124</v>
      </c>
      <c r="F1358" s="164" t="s">
        <v>125</v>
      </c>
      <c r="G1358" s="143" t="s">
        <v>107</v>
      </c>
      <c r="H1358" s="165">
        <v>1.4999999999999999E-2</v>
      </c>
      <c r="I1358" s="165">
        <v>5.1310000000000001E-3</v>
      </c>
      <c r="J1358" s="158">
        <v>9500000</v>
      </c>
      <c r="K1358" s="158">
        <f t="shared" si="233"/>
        <v>48744.5</v>
      </c>
      <c r="L1358" s="158"/>
      <c r="M1358" s="158"/>
      <c r="N1358" s="158">
        <f t="shared" si="236"/>
        <v>48744.5</v>
      </c>
      <c r="O1358" s="158"/>
      <c r="P1358" s="156"/>
    </row>
    <row r="1359" spans="1:17" s="16" customFormat="1" x14ac:dyDescent="0.2">
      <c r="A1359" t="s">
        <v>1681</v>
      </c>
      <c r="B1359" t="s">
        <v>1401</v>
      </c>
      <c r="C1359" s="16" t="s">
        <v>1723</v>
      </c>
      <c r="D1359" s="142" t="s">
        <v>1931</v>
      </c>
      <c r="E1359" s="143" t="s">
        <v>441</v>
      </c>
      <c r="F1359" s="164" t="s">
        <v>442</v>
      </c>
      <c r="G1359" s="143" t="s">
        <v>107</v>
      </c>
      <c r="H1359" s="165">
        <v>2.3599999999999999E-2</v>
      </c>
      <c r="I1359" s="165">
        <v>8.0739999999999996E-3</v>
      </c>
      <c r="J1359" s="158">
        <v>9500000</v>
      </c>
      <c r="K1359" s="158">
        <f t="shared" si="233"/>
        <v>76703</v>
      </c>
      <c r="L1359" s="158"/>
      <c r="M1359" s="158"/>
      <c r="N1359" s="158">
        <f t="shared" si="236"/>
        <v>76703</v>
      </c>
      <c r="O1359" s="158"/>
      <c r="P1359" s="156"/>
    </row>
    <row r="1360" spans="1:17" s="16" customFormat="1" x14ac:dyDescent="0.2">
      <c r="A1360" t="s">
        <v>1681</v>
      </c>
      <c r="B1360" t="s">
        <v>1401</v>
      </c>
      <c r="C1360" s="16" t="s">
        <v>1723</v>
      </c>
      <c r="D1360" s="142" t="s">
        <v>1932</v>
      </c>
      <c r="E1360" s="143" t="s">
        <v>693</v>
      </c>
      <c r="F1360" s="164" t="s">
        <v>694</v>
      </c>
      <c r="G1360" s="143" t="s">
        <v>107</v>
      </c>
      <c r="H1360" s="165">
        <v>1.2999999999999999E-2</v>
      </c>
      <c r="I1360" s="165">
        <v>4.4470000000000004E-3</v>
      </c>
      <c r="J1360" s="158">
        <v>11250000</v>
      </c>
      <c r="K1360" s="158">
        <f t="shared" si="233"/>
        <v>50028.750000000007</v>
      </c>
      <c r="L1360" s="158"/>
      <c r="M1360" s="158"/>
      <c r="N1360" s="158">
        <f t="shared" si="236"/>
        <v>50028.750000000007</v>
      </c>
      <c r="O1360" s="158"/>
      <c r="P1360" s="156"/>
    </row>
    <row r="1361" spans="1:17" s="16" customFormat="1" ht="24" x14ac:dyDescent="0.2">
      <c r="A1361" t="s">
        <v>1681</v>
      </c>
      <c r="B1361" t="s">
        <v>1401</v>
      </c>
      <c r="C1361" s="16" t="s">
        <v>1723</v>
      </c>
      <c r="D1361" s="142" t="s">
        <v>1933</v>
      </c>
      <c r="E1361" s="143" t="s">
        <v>1804</v>
      </c>
      <c r="F1361" s="164" t="s">
        <v>1805</v>
      </c>
      <c r="G1361" s="143" t="s">
        <v>420</v>
      </c>
      <c r="H1361" s="165">
        <v>0.82</v>
      </c>
      <c r="I1361" s="165">
        <v>0.28052199999999999</v>
      </c>
      <c r="J1361" s="158">
        <v>4107143</v>
      </c>
      <c r="K1361" s="158">
        <f t="shared" si="233"/>
        <v>1152143.9686459999</v>
      </c>
      <c r="L1361" s="158"/>
      <c r="M1361" s="158"/>
      <c r="N1361" s="158">
        <f t="shared" si="236"/>
        <v>1152143.9686459999</v>
      </c>
      <c r="O1361" s="158"/>
      <c r="P1361" s="156"/>
    </row>
    <row r="1362" spans="1:17" s="16" customFormat="1" ht="24" x14ac:dyDescent="0.2">
      <c r="A1362" t="s">
        <v>1681</v>
      </c>
      <c r="B1362" t="s">
        <v>1401</v>
      </c>
      <c r="C1362" s="16" t="s">
        <v>1723</v>
      </c>
      <c r="D1362" s="142" t="s">
        <v>1934</v>
      </c>
      <c r="E1362" s="143" t="s">
        <v>1838</v>
      </c>
      <c r="F1362" s="164" t="s">
        <v>1839</v>
      </c>
      <c r="G1362" s="143" t="s">
        <v>420</v>
      </c>
      <c r="H1362" s="165">
        <v>0.26</v>
      </c>
      <c r="I1362" s="165">
        <v>8.8945999999999997E-2</v>
      </c>
      <c r="J1362" s="158">
        <v>4107143</v>
      </c>
      <c r="K1362" s="158">
        <f t="shared" si="233"/>
        <v>365313.94127800001</v>
      </c>
      <c r="L1362" s="158"/>
      <c r="M1362" s="158"/>
      <c r="N1362" s="158">
        <f t="shared" si="236"/>
        <v>365313.94127800001</v>
      </c>
      <c r="O1362" s="158"/>
      <c r="P1362" s="156"/>
    </row>
    <row r="1363" spans="1:17" s="16" customFormat="1" ht="24" x14ac:dyDescent="0.2">
      <c r="A1363" t="s">
        <v>1681</v>
      </c>
      <c r="B1363" t="s">
        <v>1401</v>
      </c>
      <c r="C1363" s="16" t="s">
        <v>1723</v>
      </c>
      <c r="D1363" s="142" t="s">
        <v>1935</v>
      </c>
      <c r="E1363" s="143" t="s">
        <v>1776</v>
      </c>
      <c r="F1363" s="164" t="s">
        <v>1777</v>
      </c>
      <c r="G1363" s="143" t="s">
        <v>420</v>
      </c>
      <c r="H1363" s="165">
        <v>1.02</v>
      </c>
      <c r="I1363" s="165">
        <v>0.34894199999999997</v>
      </c>
      <c r="J1363" s="158">
        <v>4107143</v>
      </c>
      <c r="K1363" s="158">
        <f t="shared" si="233"/>
        <v>1433154.6927059998</v>
      </c>
      <c r="L1363" s="158"/>
      <c r="M1363" s="158"/>
      <c r="N1363" s="158">
        <f t="shared" si="236"/>
        <v>1433154.6927059998</v>
      </c>
      <c r="O1363" s="158"/>
      <c r="P1363" s="156"/>
    </row>
    <row r="1364" spans="1:17" s="16" customFormat="1" x14ac:dyDescent="0.2">
      <c r="A1364" t="s">
        <v>1681</v>
      </c>
      <c r="B1364" t="s">
        <v>1401</v>
      </c>
      <c r="C1364" s="16" t="s">
        <v>1723</v>
      </c>
      <c r="D1364" s="142" t="s">
        <v>1936</v>
      </c>
      <c r="E1364" s="143" t="s">
        <v>1937</v>
      </c>
      <c r="F1364" s="164" t="s">
        <v>1938</v>
      </c>
      <c r="G1364" s="143" t="s">
        <v>38</v>
      </c>
      <c r="H1364" s="165">
        <v>29.2</v>
      </c>
      <c r="I1364" s="165">
        <v>9.9893000000000001</v>
      </c>
      <c r="J1364" s="158">
        <v>120000</v>
      </c>
      <c r="K1364" s="158">
        <f t="shared" si="233"/>
        <v>1198716</v>
      </c>
      <c r="L1364" s="158"/>
      <c r="M1364" s="158"/>
      <c r="N1364" s="158">
        <f t="shared" si="236"/>
        <v>1198716</v>
      </c>
      <c r="O1364" s="158"/>
      <c r="P1364" s="156"/>
    </row>
    <row r="1365" spans="1:17" s="1" customFormat="1" x14ac:dyDescent="0.2">
      <c r="A1365" t="s">
        <v>1681</v>
      </c>
      <c r="B1365" t="s">
        <v>1401</v>
      </c>
      <c r="C1365" s="16" t="s">
        <v>1723</v>
      </c>
      <c r="D1365" s="130" t="s">
        <v>677</v>
      </c>
      <c r="E1365" s="131" t="s">
        <v>1781</v>
      </c>
      <c r="F1365" s="131" t="s">
        <v>1810</v>
      </c>
      <c r="G1365" s="132" t="s">
        <v>107</v>
      </c>
      <c r="H1365" s="159">
        <v>0.31546999999999997</v>
      </c>
      <c r="I1365" s="159">
        <f t="shared" ref="I1365:I1370" si="237">+H1365</f>
        <v>0.31546999999999997</v>
      </c>
      <c r="J1365" s="166">
        <v>7812501</v>
      </c>
      <c r="K1365" s="166">
        <f t="shared" si="233"/>
        <v>2464609.6904699998</v>
      </c>
      <c r="L1365" s="158"/>
      <c r="M1365" s="158"/>
      <c r="N1365" s="166">
        <f t="shared" si="236"/>
        <v>2464609.6904699998</v>
      </c>
      <c r="O1365" s="158"/>
      <c r="P1365" s="153"/>
    </row>
    <row r="1366" spans="1:17" s="1" customFormat="1" x14ac:dyDescent="0.2">
      <c r="A1366" t="s">
        <v>1681</v>
      </c>
      <c r="B1366" t="s">
        <v>1401</v>
      </c>
      <c r="C1366" s="16" t="s">
        <v>1723</v>
      </c>
      <c r="D1366" s="130" t="s">
        <v>700</v>
      </c>
      <c r="E1366" s="131" t="s">
        <v>1781</v>
      </c>
      <c r="F1366" s="131" t="s">
        <v>1811</v>
      </c>
      <c r="G1366" s="132" t="s">
        <v>107</v>
      </c>
      <c r="H1366" s="159">
        <v>0.19949</v>
      </c>
      <c r="I1366" s="159">
        <f t="shared" si="237"/>
        <v>0.19949</v>
      </c>
      <c r="J1366" s="166">
        <v>8343796</v>
      </c>
      <c r="K1366" s="166">
        <f t="shared" si="233"/>
        <v>1664503.8640399999</v>
      </c>
      <c r="L1366" s="158"/>
      <c r="M1366" s="158"/>
      <c r="N1366" s="166">
        <f t="shared" si="236"/>
        <v>1664503.8640399999</v>
      </c>
      <c r="O1366" s="158"/>
      <c r="P1366" s="153"/>
    </row>
    <row r="1367" spans="1:17" s="1" customFormat="1" x14ac:dyDescent="0.2">
      <c r="A1367" t="s">
        <v>1681</v>
      </c>
      <c r="B1367" t="s">
        <v>1401</v>
      </c>
      <c r="C1367" s="16" t="s">
        <v>1723</v>
      </c>
      <c r="D1367" s="130" t="s">
        <v>709</v>
      </c>
      <c r="E1367" s="131" t="s">
        <v>1781</v>
      </c>
      <c r="F1367" s="131" t="s">
        <v>1782</v>
      </c>
      <c r="G1367" s="132" t="s">
        <v>107</v>
      </c>
      <c r="H1367" s="159">
        <v>0.91174999999999995</v>
      </c>
      <c r="I1367" s="159">
        <f t="shared" si="237"/>
        <v>0.91174999999999995</v>
      </c>
      <c r="J1367" s="166">
        <v>8482143</v>
      </c>
      <c r="K1367" s="166">
        <f t="shared" si="233"/>
        <v>7733593.8802499995</v>
      </c>
      <c r="L1367" s="158"/>
      <c r="M1367" s="158"/>
      <c r="N1367" s="166">
        <f t="shared" si="236"/>
        <v>7733593.8802499995</v>
      </c>
      <c r="O1367" s="158"/>
      <c r="P1367" s="153"/>
    </row>
    <row r="1368" spans="1:17" s="1" customFormat="1" x14ac:dyDescent="0.2">
      <c r="A1368" t="s">
        <v>1681</v>
      </c>
      <c r="B1368" t="s">
        <v>1401</v>
      </c>
      <c r="C1368" s="16" t="s">
        <v>1723</v>
      </c>
      <c r="D1368" s="130" t="s">
        <v>714</v>
      </c>
      <c r="E1368" s="131" t="s">
        <v>1939</v>
      </c>
      <c r="F1368" s="131" t="s">
        <v>1783</v>
      </c>
      <c r="G1368" s="132" t="s">
        <v>107</v>
      </c>
      <c r="H1368" s="159">
        <v>1.9447000000000001</v>
      </c>
      <c r="I1368" s="159">
        <f t="shared" si="237"/>
        <v>1.9447000000000001</v>
      </c>
      <c r="J1368" s="166">
        <v>8322279</v>
      </c>
      <c r="K1368" s="166">
        <f t="shared" si="233"/>
        <v>16184335.9713</v>
      </c>
      <c r="L1368" s="158"/>
      <c r="M1368" s="158"/>
      <c r="N1368" s="166">
        <f t="shared" si="236"/>
        <v>16184335.9713</v>
      </c>
      <c r="O1368" s="158"/>
      <c r="P1368" s="153"/>
    </row>
    <row r="1369" spans="1:17" s="1" customFormat="1" x14ac:dyDescent="0.2">
      <c r="A1369" t="s">
        <v>1681</v>
      </c>
      <c r="B1369" t="s">
        <v>1401</v>
      </c>
      <c r="C1369" s="16" t="s">
        <v>1723</v>
      </c>
      <c r="D1369" s="130" t="s">
        <v>717</v>
      </c>
      <c r="E1369" s="131" t="s">
        <v>1940</v>
      </c>
      <c r="F1369" s="131" t="s">
        <v>1785</v>
      </c>
      <c r="G1369" s="132" t="s">
        <v>107</v>
      </c>
      <c r="H1369" s="159">
        <v>0.31561</v>
      </c>
      <c r="I1369" s="159">
        <f t="shared" si="237"/>
        <v>0.31561</v>
      </c>
      <c r="J1369" s="166">
        <v>8013175</v>
      </c>
      <c r="K1369" s="166">
        <f t="shared" si="233"/>
        <v>2529038.16175</v>
      </c>
      <c r="L1369" s="158"/>
      <c r="M1369" s="158"/>
      <c r="N1369" s="166">
        <f t="shared" si="236"/>
        <v>2529038.16175</v>
      </c>
      <c r="O1369" s="158"/>
      <c r="P1369" s="153"/>
    </row>
    <row r="1370" spans="1:17" s="1" customFormat="1" x14ac:dyDescent="0.2">
      <c r="A1370" t="s">
        <v>1681</v>
      </c>
      <c r="B1370" t="s">
        <v>1401</v>
      </c>
      <c r="C1370" s="16" t="s">
        <v>1723</v>
      </c>
      <c r="D1370" s="130" t="s">
        <v>719</v>
      </c>
      <c r="E1370" s="131" t="s">
        <v>1940</v>
      </c>
      <c r="F1370" s="131" t="s">
        <v>1842</v>
      </c>
      <c r="G1370" s="132" t="s">
        <v>107</v>
      </c>
      <c r="H1370" s="159">
        <v>3.4803999999999999</v>
      </c>
      <c r="I1370" s="159">
        <f t="shared" si="237"/>
        <v>3.4803999999999999</v>
      </c>
      <c r="J1370" s="166">
        <v>9375000</v>
      </c>
      <c r="K1370" s="166">
        <f t="shared" si="233"/>
        <v>32628750</v>
      </c>
      <c r="L1370" s="158"/>
      <c r="M1370" s="158"/>
      <c r="N1370" s="166">
        <f t="shared" si="236"/>
        <v>32628750</v>
      </c>
      <c r="O1370" s="158"/>
      <c r="P1370" s="153"/>
    </row>
    <row r="1371" spans="1:17" ht="15.75" x14ac:dyDescent="0.25">
      <c r="A1371" t="s">
        <v>1681</v>
      </c>
      <c r="B1371" t="s">
        <v>1401</v>
      </c>
      <c r="D1371" s="151" t="s">
        <v>1941</v>
      </c>
      <c r="E1371" s="128"/>
      <c r="F1371" s="163"/>
      <c r="G1371" s="128"/>
      <c r="H1371" s="128"/>
      <c r="I1371" s="128"/>
      <c r="J1371" s="158"/>
      <c r="K1371" s="158"/>
      <c r="L1371" s="158"/>
      <c r="M1371" s="158"/>
      <c r="N1371" s="158"/>
      <c r="O1371" s="158"/>
      <c r="P1371" s="152"/>
    </row>
    <row r="1372" spans="1:17" ht="15.75" x14ac:dyDescent="0.25">
      <c r="A1372" t="s">
        <v>1681</v>
      </c>
      <c r="B1372" t="s">
        <v>1401</v>
      </c>
      <c r="D1372" s="151" t="s">
        <v>1942</v>
      </c>
      <c r="E1372" s="128"/>
      <c r="F1372" s="163"/>
      <c r="G1372" s="128"/>
      <c r="H1372" s="128"/>
      <c r="I1372" s="128"/>
      <c r="J1372" s="158"/>
      <c r="K1372" s="158"/>
      <c r="L1372" s="158"/>
      <c r="M1372" s="158"/>
      <c r="N1372" s="158"/>
      <c r="O1372" s="158"/>
      <c r="P1372" s="152"/>
    </row>
    <row r="1373" spans="1:17" s="1" customFormat="1" x14ac:dyDescent="0.2">
      <c r="A1373" t="s">
        <v>1681</v>
      </c>
      <c r="B1373" t="s">
        <v>1401</v>
      </c>
      <c r="C1373" s="1" t="s">
        <v>1683</v>
      </c>
      <c r="D1373" s="130" t="s">
        <v>783</v>
      </c>
      <c r="E1373" s="131" t="s">
        <v>866</v>
      </c>
      <c r="F1373" s="131" t="s">
        <v>867</v>
      </c>
      <c r="G1373" s="132" t="s">
        <v>107</v>
      </c>
      <c r="H1373" s="159">
        <v>0.64600000000000002</v>
      </c>
      <c r="I1373" s="159"/>
      <c r="J1373" s="158"/>
      <c r="K1373" s="158"/>
      <c r="L1373" s="158"/>
      <c r="M1373" s="158"/>
      <c r="N1373" s="158"/>
      <c r="O1373" s="158"/>
      <c r="P1373" s="153"/>
      <c r="Q1373" s="35"/>
    </row>
    <row r="1374" spans="1:17" s="14" customFormat="1" x14ac:dyDescent="0.2">
      <c r="A1374" t="s">
        <v>1681</v>
      </c>
      <c r="B1374" t="s">
        <v>1401</v>
      </c>
      <c r="C1374" s="14" t="s">
        <v>24</v>
      </c>
      <c r="D1374" s="134" t="s">
        <v>1943</v>
      </c>
      <c r="E1374" s="135" t="s">
        <v>18</v>
      </c>
      <c r="F1374" s="160" t="s">
        <v>23</v>
      </c>
      <c r="G1374" s="135" t="s">
        <v>24</v>
      </c>
      <c r="H1374" s="158">
        <v>215.82</v>
      </c>
      <c r="I1374" s="158">
        <v>139.41970000000001</v>
      </c>
      <c r="J1374" s="158">
        <v>22914.53</v>
      </c>
      <c r="K1374" s="158">
        <f t="shared" ref="K1374:K1378" si="238">+J1374*I1374</f>
        <v>3194736.8982409998</v>
      </c>
      <c r="L1374" s="158">
        <f t="shared" ref="L1374:L1375" si="239">+J1374*I1374</f>
        <v>3194736.8982409998</v>
      </c>
      <c r="M1374" s="158"/>
      <c r="N1374" s="158"/>
      <c r="O1374" s="158"/>
      <c r="P1374" s="154"/>
    </row>
    <row r="1375" spans="1:17" s="16" customFormat="1" x14ac:dyDescent="0.2">
      <c r="A1375" t="s">
        <v>1681</v>
      </c>
      <c r="B1375" t="s">
        <v>1401</v>
      </c>
      <c r="C1375" s="14" t="s">
        <v>24</v>
      </c>
      <c r="D1375" s="134" t="s">
        <v>1944</v>
      </c>
      <c r="E1375" s="135" t="s">
        <v>52</v>
      </c>
      <c r="F1375" s="160" t="s">
        <v>1687</v>
      </c>
      <c r="G1375" s="135" t="s">
        <v>24</v>
      </c>
      <c r="H1375" s="158">
        <v>0.21</v>
      </c>
      <c r="I1375" s="158">
        <v>0.13566</v>
      </c>
      <c r="J1375" s="158"/>
      <c r="K1375" s="158">
        <f t="shared" si="238"/>
        <v>0</v>
      </c>
      <c r="L1375" s="158">
        <f t="shared" si="239"/>
        <v>0</v>
      </c>
      <c r="M1375" s="158"/>
      <c r="N1375" s="158"/>
      <c r="O1375" s="158"/>
      <c r="P1375" s="156"/>
    </row>
    <row r="1376" spans="1:17" s="15" customFormat="1" x14ac:dyDescent="0.2">
      <c r="A1376" t="s">
        <v>1681</v>
      </c>
      <c r="B1376" t="s">
        <v>1401</v>
      </c>
      <c r="C1376" s="124" t="s">
        <v>28</v>
      </c>
      <c r="D1376" s="138" t="s">
        <v>1945</v>
      </c>
      <c r="E1376" s="139" t="s">
        <v>30</v>
      </c>
      <c r="F1376" s="161" t="s">
        <v>31</v>
      </c>
      <c r="G1376" s="139" t="s">
        <v>28</v>
      </c>
      <c r="H1376" s="162">
        <v>0.21</v>
      </c>
      <c r="I1376" s="162">
        <v>0.13566</v>
      </c>
      <c r="J1376" s="158">
        <v>106655</v>
      </c>
      <c r="K1376" s="158">
        <f t="shared" si="238"/>
        <v>14468.817300000001</v>
      </c>
      <c r="L1376" s="158"/>
      <c r="M1376" s="158">
        <f>+J1376*I1376</f>
        <v>14468.817300000001</v>
      </c>
      <c r="N1376" s="158"/>
      <c r="O1376" s="158"/>
      <c r="P1376" s="155"/>
    </row>
    <row r="1377" spans="1:17" s="1" customFormat="1" x14ac:dyDescent="0.2">
      <c r="A1377" t="s">
        <v>1681</v>
      </c>
      <c r="B1377" t="s">
        <v>1401</v>
      </c>
      <c r="C1377" s="16" t="s">
        <v>1723</v>
      </c>
      <c r="D1377" s="130" t="s">
        <v>785</v>
      </c>
      <c r="E1377" s="131" t="s">
        <v>1781</v>
      </c>
      <c r="F1377" s="131" t="s">
        <v>1946</v>
      </c>
      <c r="G1377" s="132" t="s">
        <v>107</v>
      </c>
      <c r="H1377" s="159">
        <v>0.64600000000000002</v>
      </c>
      <c r="I1377" s="159">
        <f t="shared" ref="I1377:I1378" si="240">+H1377</f>
        <v>0.64600000000000002</v>
      </c>
      <c r="J1377" s="166">
        <v>8660714</v>
      </c>
      <c r="K1377" s="166">
        <f t="shared" si="238"/>
        <v>5594821.2439999999</v>
      </c>
      <c r="L1377" s="158"/>
      <c r="M1377" s="158"/>
      <c r="N1377" s="166">
        <f t="shared" ref="N1377:N1378" si="241">+J1377*I1377</f>
        <v>5594821.2439999999</v>
      </c>
      <c r="O1377" s="158"/>
      <c r="P1377" s="153"/>
    </row>
    <row r="1378" spans="1:17" s="1" customFormat="1" x14ac:dyDescent="0.2">
      <c r="A1378" t="s">
        <v>1681</v>
      </c>
      <c r="B1378" t="s">
        <v>1401</v>
      </c>
      <c r="C1378" s="16" t="s">
        <v>1723</v>
      </c>
      <c r="D1378" s="130" t="s">
        <v>787</v>
      </c>
      <c r="E1378" s="131" t="s">
        <v>1940</v>
      </c>
      <c r="F1378" s="131" t="s">
        <v>1947</v>
      </c>
      <c r="G1378" s="132" t="s">
        <v>42</v>
      </c>
      <c r="H1378" s="159">
        <v>4776</v>
      </c>
      <c r="I1378" s="159">
        <f t="shared" si="240"/>
        <v>4776</v>
      </c>
      <c r="J1378" s="166">
        <v>800</v>
      </c>
      <c r="K1378" s="166">
        <f t="shared" si="238"/>
        <v>3820800</v>
      </c>
      <c r="L1378" s="158"/>
      <c r="M1378" s="158"/>
      <c r="N1378" s="166">
        <f t="shared" si="241"/>
        <v>3820800</v>
      </c>
      <c r="O1378" s="158"/>
      <c r="P1378" s="153"/>
    </row>
    <row r="1379" spans="1:17" ht="15.75" x14ac:dyDescent="0.25">
      <c r="A1379" t="s">
        <v>1681</v>
      </c>
      <c r="B1379" t="s">
        <v>1401</v>
      </c>
      <c r="D1379" s="151" t="s">
        <v>1948</v>
      </c>
      <c r="E1379" s="128"/>
      <c r="F1379" s="163"/>
      <c r="G1379" s="128"/>
      <c r="H1379" s="128"/>
      <c r="I1379" s="128"/>
      <c r="J1379" s="158"/>
      <c r="K1379" s="158"/>
      <c r="L1379" s="158"/>
      <c r="M1379" s="158"/>
      <c r="N1379" s="158"/>
      <c r="O1379" s="158"/>
      <c r="P1379" s="152"/>
    </row>
    <row r="1380" spans="1:17" s="1" customFormat="1" ht="27" customHeight="1" x14ac:dyDescent="0.2">
      <c r="A1380" t="s">
        <v>1681</v>
      </c>
      <c r="B1380" t="s">
        <v>1401</v>
      </c>
      <c r="C1380" s="1" t="s">
        <v>1683</v>
      </c>
      <c r="D1380" s="130" t="s">
        <v>789</v>
      </c>
      <c r="E1380" s="131" t="s">
        <v>1949</v>
      </c>
      <c r="F1380" s="131" t="s">
        <v>1950</v>
      </c>
      <c r="G1380" s="132" t="s">
        <v>420</v>
      </c>
      <c r="H1380" s="159">
        <v>214</v>
      </c>
      <c r="I1380" s="159"/>
      <c r="J1380" s="158"/>
      <c r="K1380" s="158"/>
      <c r="L1380" s="158"/>
      <c r="M1380" s="158"/>
      <c r="N1380" s="158"/>
      <c r="O1380" s="158"/>
      <c r="P1380" s="153"/>
      <c r="Q1380" s="35"/>
    </row>
    <row r="1381" spans="1:17" s="14" customFormat="1" x14ac:dyDescent="0.2">
      <c r="A1381" t="s">
        <v>1681</v>
      </c>
      <c r="B1381" t="s">
        <v>1401</v>
      </c>
      <c r="C1381" s="14" t="s">
        <v>24</v>
      </c>
      <c r="D1381" s="134" t="s">
        <v>792</v>
      </c>
      <c r="E1381" s="135" t="s">
        <v>18</v>
      </c>
      <c r="F1381" s="160" t="s">
        <v>23</v>
      </c>
      <c r="G1381" s="135" t="s">
        <v>24</v>
      </c>
      <c r="H1381" s="158">
        <v>3.65</v>
      </c>
      <c r="I1381" s="158">
        <v>781.1</v>
      </c>
      <c r="J1381" s="158">
        <v>22914.53</v>
      </c>
      <c r="K1381" s="158">
        <f t="shared" ref="K1381:K1387" si="242">+J1381*I1381</f>
        <v>17898539.383000001</v>
      </c>
      <c r="L1381" s="158">
        <f t="shared" ref="L1381:L1382" si="243">+J1381*I1381</f>
        <v>17898539.383000001</v>
      </c>
      <c r="M1381" s="158"/>
      <c r="N1381" s="158"/>
      <c r="O1381" s="158"/>
      <c r="P1381" s="154"/>
    </row>
    <row r="1382" spans="1:17" s="16" customFormat="1" x14ac:dyDescent="0.2">
      <c r="A1382" t="s">
        <v>1681</v>
      </c>
      <c r="B1382" t="s">
        <v>1401</v>
      </c>
      <c r="C1382" s="14" t="s">
        <v>24</v>
      </c>
      <c r="D1382" s="134" t="s">
        <v>793</v>
      </c>
      <c r="E1382" s="135" t="s">
        <v>52</v>
      </c>
      <c r="F1382" s="160" t="s">
        <v>1687</v>
      </c>
      <c r="G1382" s="135" t="s">
        <v>24</v>
      </c>
      <c r="H1382" s="158">
        <v>0.13</v>
      </c>
      <c r="I1382" s="158">
        <v>27.82</v>
      </c>
      <c r="J1382" s="158"/>
      <c r="K1382" s="158">
        <f t="shared" si="242"/>
        <v>0</v>
      </c>
      <c r="L1382" s="158">
        <f t="shared" si="243"/>
        <v>0</v>
      </c>
      <c r="M1382" s="158"/>
      <c r="N1382" s="158"/>
      <c r="O1382" s="158"/>
      <c r="P1382" s="156"/>
    </row>
    <row r="1383" spans="1:17" s="15" customFormat="1" x14ac:dyDescent="0.2">
      <c r="A1383" t="s">
        <v>1681</v>
      </c>
      <c r="B1383" t="s">
        <v>1401</v>
      </c>
      <c r="C1383" s="124" t="s">
        <v>28</v>
      </c>
      <c r="D1383" s="138" t="s">
        <v>794</v>
      </c>
      <c r="E1383" s="139" t="s">
        <v>213</v>
      </c>
      <c r="F1383" s="161" t="s">
        <v>214</v>
      </c>
      <c r="G1383" s="139" t="s">
        <v>28</v>
      </c>
      <c r="H1383" s="162">
        <v>0.2</v>
      </c>
      <c r="I1383" s="162">
        <v>42.8</v>
      </c>
      <c r="J1383" s="158">
        <v>1399</v>
      </c>
      <c r="K1383" s="158">
        <f t="shared" si="242"/>
        <v>59877.2</v>
      </c>
      <c r="L1383" s="158"/>
      <c r="M1383" s="158">
        <f t="shared" ref="M1383:M1385" si="244">+J1383*I1383</f>
        <v>59877.2</v>
      </c>
      <c r="N1383" s="158"/>
      <c r="O1383" s="158"/>
      <c r="P1383" s="155"/>
    </row>
    <row r="1384" spans="1:17" s="15" customFormat="1" ht="24" x14ac:dyDescent="0.2">
      <c r="A1384" t="s">
        <v>1681</v>
      </c>
      <c r="B1384" t="s">
        <v>1401</v>
      </c>
      <c r="C1384" s="124" t="s">
        <v>28</v>
      </c>
      <c r="D1384" s="138" t="s">
        <v>795</v>
      </c>
      <c r="E1384" s="139" t="s">
        <v>876</v>
      </c>
      <c r="F1384" s="161" t="s">
        <v>877</v>
      </c>
      <c r="G1384" s="139" t="s">
        <v>28</v>
      </c>
      <c r="H1384" s="162">
        <v>0.08</v>
      </c>
      <c r="I1384" s="162">
        <v>17.12</v>
      </c>
      <c r="J1384" s="158">
        <v>239461</v>
      </c>
      <c r="K1384" s="158">
        <f t="shared" si="242"/>
        <v>4099572.3200000003</v>
      </c>
      <c r="L1384" s="158"/>
      <c r="M1384" s="158">
        <f t="shared" si="244"/>
        <v>4099572.3200000003</v>
      </c>
      <c r="N1384" s="158"/>
      <c r="O1384" s="158"/>
      <c r="P1384" s="155"/>
    </row>
    <row r="1385" spans="1:17" s="15" customFormat="1" x14ac:dyDescent="0.2">
      <c r="A1385" t="s">
        <v>1681</v>
      </c>
      <c r="B1385" t="s">
        <v>1401</v>
      </c>
      <c r="C1385" s="124" t="s">
        <v>28</v>
      </c>
      <c r="D1385" s="138" t="s">
        <v>796</v>
      </c>
      <c r="E1385" s="139" t="s">
        <v>193</v>
      </c>
      <c r="F1385" s="161" t="s">
        <v>31</v>
      </c>
      <c r="G1385" s="139" t="s">
        <v>28</v>
      </c>
      <c r="H1385" s="162">
        <v>0.05</v>
      </c>
      <c r="I1385" s="162">
        <v>10.7</v>
      </c>
      <c r="J1385" s="158">
        <v>106655</v>
      </c>
      <c r="K1385" s="158">
        <f t="shared" si="242"/>
        <v>1141208.5</v>
      </c>
      <c r="L1385" s="158"/>
      <c r="M1385" s="158">
        <f t="shared" si="244"/>
        <v>1141208.5</v>
      </c>
      <c r="N1385" s="158"/>
      <c r="O1385" s="158"/>
      <c r="P1385" s="155"/>
    </row>
    <row r="1386" spans="1:17" s="16" customFormat="1" x14ac:dyDescent="0.2">
      <c r="A1386" t="s">
        <v>1681</v>
      </c>
      <c r="B1386" t="s">
        <v>1401</v>
      </c>
      <c r="C1386" s="16" t="s">
        <v>1723</v>
      </c>
      <c r="D1386" s="142" t="s">
        <v>799</v>
      </c>
      <c r="E1386" s="143" t="s">
        <v>1951</v>
      </c>
      <c r="F1386" s="164" t="s">
        <v>1952</v>
      </c>
      <c r="G1386" s="143" t="s">
        <v>250</v>
      </c>
      <c r="H1386" s="165">
        <v>20.5</v>
      </c>
      <c r="I1386" s="165">
        <v>4387</v>
      </c>
      <c r="J1386" s="158">
        <v>1150</v>
      </c>
      <c r="K1386" s="158">
        <f t="shared" si="242"/>
        <v>5045050</v>
      </c>
      <c r="L1386" s="158"/>
      <c r="M1386" s="158"/>
      <c r="N1386" s="158">
        <f t="shared" ref="N1386:N1387" si="245">+J1386*I1386</f>
        <v>5045050</v>
      </c>
      <c r="O1386" s="158"/>
      <c r="P1386" s="156"/>
    </row>
    <row r="1387" spans="1:17" s="16" customFormat="1" x14ac:dyDescent="0.2">
      <c r="A1387" t="s">
        <v>1681</v>
      </c>
      <c r="B1387" t="s">
        <v>1401</v>
      </c>
      <c r="C1387" s="16" t="s">
        <v>1723</v>
      </c>
      <c r="D1387" s="142" t="s">
        <v>802</v>
      </c>
      <c r="E1387" s="143" t="s">
        <v>1953</v>
      </c>
      <c r="F1387" s="164" t="s">
        <v>1954</v>
      </c>
      <c r="G1387" s="143" t="s">
        <v>420</v>
      </c>
      <c r="H1387" s="165">
        <v>1.01</v>
      </c>
      <c r="I1387" s="165">
        <v>216.14</v>
      </c>
      <c r="J1387" s="158">
        <v>491071</v>
      </c>
      <c r="K1387" s="158">
        <f t="shared" si="242"/>
        <v>106140085.94</v>
      </c>
      <c r="L1387" s="158"/>
      <c r="M1387" s="158"/>
      <c r="N1387" s="158">
        <f t="shared" si="245"/>
        <v>106140085.94</v>
      </c>
      <c r="O1387" s="158"/>
      <c r="P1387" s="156"/>
    </row>
    <row r="1388" spans="1:17" s="1" customFormat="1" ht="26.25" customHeight="1" x14ac:dyDescent="0.2">
      <c r="A1388" t="s">
        <v>1681</v>
      </c>
      <c r="B1388" t="s">
        <v>1401</v>
      </c>
      <c r="C1388" s="1" t="s">
        <v>1683</v>
      </c>
      <c r="D1388" s="130" t="s">
        <v>810</v>
      </c>
      <c r="E1388" s="131" t="s">
        <v>1955</v>
      </c>
      <c r="F1388" s="131" t="s">
        <v>1956</v>
      </c>
      <c r="G1388" s="132" t="s">
        <v>1733</v>
      </c>
      <c r="H1388" s="159">
        <v>19.236999999999998</v>
      </c>
      <c r="I1388" s="159"/>
      <c r="J1388" s="158"/>
      <c r="K1388" s="158"/>
      <c r="L1388" s="158"/>
      <c r="M1388" s="158"/>
      <c r="N1388" s="158"/>
      <c r="O1388" s="158"/>
      <c r="P1388" s="153"/>
      <c r="Q1388" s="35"/>
    </row>
    <row r="1389" spans="1:17" s="14" customFormat="1" x14ac:dyDescent="0.2">
      <c r="A1389" t="s">
        <v>1681</v>
      </c>
      <c r="B1389" t="s">
        <v>1401</v>
      </c>
      <c r="C1389" s="14" t="s">
        <v>24</v>
      </c>
      <c r="D1389" s="134" t="s">
        <v>813</v>
      </c>
      <c r="E1389" s="135" t="s">
        <v>18</v>
      </c>
      <c r="F1389" s="160" t="s">
        <v>23</v>
      </c>
      <c r="G1389" s="135" t="s">
        <v>24</v>
      </c>
      <c r="H1389" s="158">
        <v>62.4</v>
      </c>
      <c r="I1389" s="158">
        <v>1200.3887999999999</v>
      </c>
      <c r="J1389" s="158">
        <v>22914.53</v>
      </c>
      <c r="K1389" s="158">
        <f t="shared" ref="K1389:K1398" si="246">+J1389*I1389</f>
        <v>27506345.169263996</v>
      </c>
      <c r="L1389" s="158">
        <f t="shared" ref="L1389:L1390" si="247">+J1389*I1389</f>
        <v>27506345.169263996</v>
      </c>
      <c r="M1389" s="158"/>
      <c r="N1389" s="158"/>
      <c r="O1389" s="158"/>
      <c r="P1389" s="154"/>
    </row>
    <row r="1390" spans="1:17" s="16" customFormat="1" x14ac:dyDescent="0.2">
      <c r="A1390" t="s">
        <v>1681</v>
      </c>
      <c r="B1390" t="s">
        <v>1401</v>
      </c>
      <c r="C1390" s="14" t="s">
        <v>24</v>
      </c>
      <c r="D1390" s="134" t="s">
        <v>814</v>
      </c>
      <c r="E1390" s="135" t="s">
        <v>52</v>
      </c>
      <c r="F1390" s="160" t="s">
        <v>1687</v>
      </c>
      <c r="G1390" s="135" t="s">
        <v>24</v>
      </c>
      <c r="H1390" s="158">
        <v>1.26</v>
      </c>
      <c r="I1390" s="158">
        <v>24.238600000000002</v>
      </c>
      <c r="J1390" s="158"/>
      <c r="K1390" s="158">
        <f t="shared" si="246"/>
        <v>0</v>
      </c>
      <c r="L1390" s="158">
        <f t="shared" si="247"/>
        <v>0</v>
      </c>
      <c r="M1390" s="158"/>
      <c r="N1390" s="158"/>
      <c r="O1390" s="158"/>
      <c r="P1390" s="156"/>
    </row>
    <row r="1391" spans="1:17" s="15" customFormat="1" x14ac:dyDescent="0.2">
      <c r="A1391" t="s">
        <v>1681</v>
      </c>
      <c r="B1391" t="s">
        <v>1401</v>
      </c>
      <c r="C1391" s="124" t="s">
        <v>28</v>
      </c>
      <c r="D1391" s="138" t="s">
        <v>815</v>
      </c>
      <c r="E1391" s="139" t="s">
        <v>213</v>
      </c>
      <c r="F1391" s="161" t="s">
        <v>214</v>
      </c>
      <c r="G1391" s="139" t="s">
        <v>28</v>
      </c>
      <c r="H1391" s="162">
        <v>1.3</v>
      </c>
      <c r="I1391" s="162">
        <v>25.008099999999999</v>
      </c>
      <c r="J1391" s="158">
        <v>1399</v>
      </c>
      <c r="K1391" s="158">
        <f t="shared" si="246"/>
        <v>34986.331899999997</v>
      </c>
      <c r="L1391" s="158"/>
      <c r="M1391" s="158">
        <f t="shared" ref="M1391:M1393" si="248">+J1391*I1391</f>
        <v>34986.331899999997</v>
      </c>
      <c r="N1391" s="158"/>
      <c r="O1391" s="158"/>
      <c r="P1391" s="155"/>
    </row>
    <row r="1392" spans="1:17" s="15" customFormat="1" ht="24" x14ac:dyDescent="0.2">
      <c r="A1392" t="s">
        <v>1681</v>
      </c>
      <c r="B1392" t="s">
        <v>1401</v>
      </c>
      <c r="C1392" s="124" t="s">
        <v>28</v>
      </c>
      <c r="D1392" s="138" t="s">
        <v>816</v>
      </c>
      <c r="E1392" s="139" t="s">
        <v>876</v>
      </c>
      <c r="F1392" s="161" t="s">
        <v>877</v>
      </c>
      <c r="G1392" s="139" t="s">
        <v>28</v>
      </c>
      <c r="H1392" s="162">
        <v>0.78</v>
      </c>
      <c r="I1392" s="162">
        <v>15.004899999999999</v>
      </c>
      <c r="J1392" s="158">
        <v>239461</v>
      </c>
      <c r="K1392" s="158">
        <f t="shared" si="246"/>
        <v>3593088.3588999999</v>
      </c>
      <c r="L1392" s="158"/>
      <c r="M1392" s="158">
        <f t="shared" si="248"/>
        <v>3593088.3588999999</v>
      </c>
      <c r="N1392" s="158"/>
      <c r="O1392" s="158"/>
      <c r="P1392" s="155"/>
    </row>
    <row r="1393" spans="1:17" s="15" customFormat="1" x14ac:dyDescent="0.2">
      <c r="A1393" t="s">
        <v>1681</v>
      </c>
      <c r="B1393" t="s">
        <v>1401</v>
      </c>
      <c r="C1393" s="124" t="s">
        <v>28</v>
      </c>
      <c r="D1393" s="138" t="s">
        <v>819</v>
      </c>
      <c r="E1393" s="139" t="s">
        <v>193</v>
      </c>
      <c r="F1393" s="161" t="s">
        <v>31</v>
      </c>
      <c r="G1393" s="139" t="s">
        <v>28</v>
      </c>
      <c r="H1393" s="162">
        <v>0.48</v>
      </c>
      <c r="I1393" s="162">
        <v>9.2338000000000005</v>
      </c>
      <c r="J1393" s="158">
        <v>106655</v>
      </c>
      <c r="K1393" s="158">
        <f t="shared" si="246"/>
        <v>984830.93900000001</v>
      </c>
      <c r="L1393" s="158"/>
      <c r="M1393" s="158">
        <f t="shared" si="248"/>
        <v>984830.93900000001</v>
      </c>
      <c r="N1393" s="158"/>
      <c r="O1393" s="158"/>
      <c r="P1393" s="155"/>
    </row>
    <row r="1394" spans="1:17" s="16" customFormat="1" x14ac:dyDescent="0.2">
      <c r="A1394" t="s">
        <v>1681</v>
      </c>
      <c r="B1394" t="s">
        <v>1401</v>
      </c>
      <c r="C1394" s="16" t="s">
        <v>1723</v>
      </c>
      <c r="D1394" s="142" t="s">
        <v>1957</v>
      </c>
      <c r="E1394" s="143" t="s">
        <v>1951</v>
      </c>
      <c r="F1394" s="164" t="s">
        <v>1952</v>
      </c>
      <c r="G1394" s="143" t="s">
        <v>250</v>
      </c>
      <c r="H1394" s="165">
        <v>212.14</v>
      </c>
      <c r="I1394" s="165">
        <v>4080.9371999999998</v>
      </c>
      <c r="J1394" s="158">
        <v>1150</v>
      </c>
      <c r="K1394" s="158">
        <f t="shared" si="246"/>
        <v>4693077.78</v>
      </c>
      <c r="L1394" s="158"/>
      <c r="M1394" s="158"/>
      <c r="N1394" s="158">
        <f t="shared" ref="N1394:N1398" si="249">+J1394*I1394</f>
        <v>4693077.78</v>
      </c>
      <c r="O1394" s="158"/>
      <c r="P1394" s="156"/>
    </row>
    <row r="1395" spans="1:17" s="16" customFormat="1" x14ac:dyDescent="0.2">
      <c r="A1395" t="s">
        <v>1681</v>
      </c>
      <c r="B1395" t="s">
        <v>1401</v>
      </c>
      <c r="C1395" s="16" t="s">
        <v>1723</v>
      </c>
      <c r="D1395" s="142" t="s">
        <v>1958</v>
      </c>
      <c r="E1395" s="143" t="s">
        <v>1959</v>
      </c>
      <c r="F1395" s="164" t="s">
        <v>1960</v>
      </c>
      <c r="G1395" s="143" t="s">
        <v>420</v>
      </c>
      <c r="H1395" s="165">
        <v>10.1</v>
      </c>
      <c r="I1395" s="165">
        <v>194.2937</v>
      </c>
      <c r="J1395" s="158">
        <v>491071</v>
      </c>
      <c r="K1395" s="158">
        <f t="shared" si="246"/>
        <v>95412001.552699998</v>
      </c>
      <c r="L1395" s="158"/>
      <c r="M1395" s="158"/>
      <c r="N1395" s="158">
        <f t="shared" si="249"/>
        <v>95412001.552699998</v>
      </c>
      <c r="O1395" s="158"/>
      <c r="P1395" s="156"/>
    </row>
    <row r="1396" spans="1:17" s="1" customFormat="1" ht="25.5" x14ac:dyDescent="0.2">
      <c r="A1396" t="s">
        <v>1681</v>
      </c>
      <c r="B1396" t="s">
        <v>1401</v>
      </c>
      <c r="C1396" s="16" t="s">
        <v>1723</v>
      </c>
      <c r="D1396" s="130" t="s">
        <v>822</v>
      </c>
      <c r="E1396" s="131" t="s">
        <v>1961</v>
      </c>
      <c r="F1396" s="131" t="s">
        <v>1962</v>
      </c>
      <c r="G1396" s="132" t="s">
        <v>107</v>
      </c>
      <c r="H1396" s="159">
        <v>1.0411999999999999</v>
      </c>
      <c r="I1396" s="159">
        <f t="shared" ref="I1396:I1398" si="250">+H1396</f>
        <v>1.0411999999999999</v>
      </c>
      <c r="J1396" s="166">
        <v>8036000</v>
      </c>
      <c r="K1396" s="166">
        <f t="shared" si="246"/>
        <v>8367083.1999999993</v>
      </c>
      <c r="L1396" s="158"/>
      <c r="M1396" s="158"/>
      <c r="N1396" s="166">
        <f t="shared" si="249"/>
        <v>8367083.1999999993</v>
      </c>
      <c r="O1396" s="158"/>
      <c r="P1396" s="153"/>
    </row>
    <row r="1397" spans="1:17" s="1" customFormat="1" ht="25.5" x14ac:dyDescent="0.2">
      <c r="A1397" t="s">
        <v>1681</v>
      </c>
      <c r="B1397" t="s">
        <v>1401</v>
      </c>
      <c r="C1397" s="16" t="s">
        <v>1723</v>
      </c>
      <c r="D1397" s="130" t="s">
        <v>824</v>
      </c>
      <c r="E1397" s="131" t="s">
        <v>1961</v>
      </c>
      <c r="F1397" s="131" t="s">
        <v>1963</v>
      </c>
      <c r="G1397" s="132" t="s">
        <v>107</v>
      </c>
      <c r="H1397" s="159">
        <v>0.13802400000000001</v>
      </c>
      <c r="I1397" s="159">
        <f t="shared" si="250"/>
        <v>0.13802400000000001</v>
      </c>
      <c r="J1397" s="166">
        <v>8081000</v>
      </c>
      <c r="K1397" s="166">
        <f t="shared" si="246"/>
        <v>1115371.9440000001</v>
      </c>
      <c r="L1397" s="158"/>
      <c r="M1397" s="158"/>
      <c r="N1397" s="166">
        <f t="shared" si="249"/>
        <v>1115371.9440000001</v>
      </c>
      <c r="O1397" s="158"/>
      <c r="P1397" s="153"/>
    </row>
    <row r="1398" spans="1:17" s="1" customFormat="1" x14ac:dyDescent="0.2">
      <c r="A1398" t="s">
        <v>1681</v>
      </c>
      <c r="B1398" t="s">
        <v>1401</v>
      </c>
      <c r="C1398" s="16" t="s">
        <v>1723</v>
      </c>
      <c r="D1398" s="130" t="s">
        <v>836</v>
      </c>
      <c r="E1398" s="131" t="s">
        <v>1781</v>
      </c>
      <c r="F1398" s="131" t="s">
        <v>1810</v>
      </c>
      <c r="G1398" s="132" t="s">
        <v>107</v>
      </c>
      <c r="H1398" s="159">
        <v>0.47739999999999999</v>
      </c>
      <c r="I1398" s="159">
        <f t="shared" si="250"/>
        <v>0.47739999999999999</v>
      </c>
      <c r="J1398" s="166">
        <v>7812501</v>
      </c>
      <c r="K1398" s="166">
        <f t="shared" si="246"/>
        <v>3729687.9773999997</v>
      </c>
      <c r="L1398" s="158"/>
      <c r="M1398" s="158"/>
      <c r="N1398" s="166">
        <f t="shared" si="249"/>
        <v>3729687.9773999997</v>
      </c>
      <c r="O1398" s="158"/>
      <c r="P1398" s="153"/>
    </row>
    <row r="1399" spans="1:17" s="1" customFormat="1" ht="15.75" customHeight="1" x14ac:dyDescent="0.2">
      <c r="A1399" t="s">
        <v>1681</v>
      </c>
      <c r="B1399" t="s">
        <v>1401</v>
      </c>
      <c r="C1399" s="1" t="s">
        <v>1683</v>
      </c>
      <c r="D1399" s="130" t="s">
        <v>843</v>
      </c>
      <c r="E1399" s="131" t="s">
        <v>1964</v>
      </c>
      <c r="F1399" s="131" t="s">
        <v>1965</v>
      </c>
      <c r="G1399" s="132" t="s">
        <v>107</v>
      </c>
      <c r="H1399" s="159">
        <v>0.12536800000000001</v>
      </c>
      <c r="I1399" s="159"/>
      <c r="J1399" s="158"/>
      <c r="K1399" s="158"/>
      <c r="L1399" s="158"/>
      <c r="M1399" s="158"/>
      <c r="N1399" s="158"/>
      <c r="O1399" s="158"/>
      <c r="P1399" s="153"/>
      <c r="Q1399" s="35"/>
    </row>
    <row r="1400" spans="1:17" s="14" customFormat="1" x14ac:dyDescent="0.2">
      <c r="A1400" t="s">
        <v>1681</v>
      </c>
      <c r="B1400" t="s">
        <v>1401</v>
      </c>
      <c r="C1400" s="14" t="s">
        <v>24</v>
      </c>
      <c r="D1400" s="134" t="s">
        <v>846</v>
      </c>
      <c r="E1400" s="135" t="s">
        <v>18</v>
      </c>
      <c r="F1400" s="160" t="s">
        <v>23</v>
      </c>
      <c r="G1400" s="135" t="s">
        <v>24</v>
      </c>
      <c r="H1400" s="158">
        <v>36.619999999999997</v>
      </c>
      <c r="I1400" s="158">
        <v>4.5910000000000002</v>
      </c>
      <c r="J1400" s="158">
        <v>22914.53</v>
      </c>
      <c r="K1400" s="158">
        <f t="shared" ref="K1400:K1405" si="251">+J1400*I1400</f>
        <v>105200.60722999999</v>
      </c>
      <c r="L1400" s="158">
        <f t="shared" ref="L1400:L1401" si="252">+J1400*I1400</f>
        <v>105200.60722999999</v>
      </c>
      <c r="M1400" s="158"/>
      <c r="N1400" s="158"/>
      <c r="O1400" s="158"/>
      <c r="P1400" s="154"/>
    </row>
    <row r="1401" spans="1:17" s="16" customFormat="1" x14ac:dyDescent="0.2">
      <c r="A1401" t="s">
        <v>1681</v>
      </c>
      <c r="B1401" t="s">
        <v>1401</v>
      </c>
      <c r="C1401" s="14" t="s">
        <v>24</v>
      </c>
      <c r="D1401" s="134" t="s">
        <v>847</v>
      </c>
      <c r="E1401" s="135" t="s">
        <v>52</v>
      </c>
      <c r="F1401" s="160" t="s">
        <v>1687</v>
      </c>
      <c r="G1401" s="135" t="s">
        <v>24</v>
      </c>
      <c r="H1401" s="158">
        <v>1.08</v>
      </c>
      <c r="I1401" s="158">
        <v>0.13539699999999999</v>
      </c>
      <c r="J1401" s="158"/>
      <c r="K1401" s="158">
        <f t="shared" si="251"/>
        <v>0</v>
      </c>
      <c r="L1401" s="158">
        <f t="shared" si="252"/>
        <v>0</v>
      </c>
      <c r="M1401" s="158"/>
      <c r="N1401" s="158"/>
      <c r="O1401" s="158"/>
      <c r="P1401" s="156"/>
    </row>
    <row r="1402" spans="1:17" s="15" customFormat="1" ht="24" x14ac:dyDescent="0.2">
      <c r="A1402" t="s">
        <v>1681</v>
      </c>
      <c r="B1402" t="s">
        <v>1401</v>
      </c>
      <c r="C1402" s="124" t="s">
        <v>28</v>
      </c>
      <c r="D1402" s="138" t="s">
        <v>850</v>
      </c>
      <c r="E1402" s="139" t="s">
        <v>876</v>
      </c>
      <c r="F1402" s="161" t="s">
        <v>877</v>
      </c>
      <c r="G1402" s="139" t="s">
        <v>28</v>
      </c>
      <c r="H1402" s="162">
        <v>0.37</v>
      </c>
      <c r="I1402" s="162">
        <v>4.6385999999999997E-2</v>
      </c>
      <c r="J1402" s="158">
        <v>239461</v>
      </c>
      <c r="K1402" s="158">
        <f t="shared" si="251"/>
        <v>11107.637945999999</v>
      </c>
      <c r="L1402" s="158"/>
      <c r="M1402" s="158">
        <f t="shared" ref="M1402:M1403" si="253">+J1402*I1402</f>
        <v>11107.637945999999</v>
      </c>
      <c r="N1402" s="158"/>
      <c r="O1402" s="158"/>
      <c r="P1402" s="155"/>
    </row>
    <row r="1403" spans="1:17" s="15" customFormat="1" x14ac:dyDescent="0.2">
      <c r="A1403" t="s">
        <v>1681</v>
      </c>
      <c r="B1403" t="s">
        <v>1401</v>
      </c>
      <c r="C1403" s="124" t="s">
        <v>28</v>
      </c>
      <c r="D1403" s="138" t="s">
        <v>853</v>
      </c>
      <c r="E1403" s="139" t="s">
        <v>193</v>
      </c>
      <c r="F1403" s="161" t="s">
        <v>31</v>
      </c>
      <c r="G1403" s="139" t="s">
        <v>28</v>
      </c>
      <c r="H1403" s="162">
        <v>0.71</v>
      </c>
      <c r="I1403" s="162">
        <v>8.9011000000000007E-2</v>
      </c>
      <c r="J1403" s="158">
        <v>106655</v>
      </c>
      <c r="K1403" s="158">
        <f t="shared" si="251"/>
        <v>9493.468205000001</v>
      </c>
      <c r="L1403" s="158"/>
      <c r="M1403" s="158">
        <f t="shared" si="253"/>
        <v>9493.468205000001</v>
      </c>
      <c r="N1403" s="158"/>
      <c r="O1403" s="158"/>
      <c r="P1403" s="155"/>
    </row>
    <row r="1404" spans="1:17" s="16" customFormat="1" x14ac:dyDescent="0.2">
      <c r="A1404" t="s">
        <v>1681</v>
      </c>
      <c r="B1404" t="s">
        <v>1401</v>
      </c>
      <c r="C1404" s="16" t="s">
        <v>1723</v>
      </c>
      <c r="D1404" s="142" t="s">
        <v>1966</v>
      </c>
      <c r="E1404" s="143" t="s">
        <v>1967</v>
      </c>
      <c r="F1404" s="164" t="s">
        <v>1968</v>
      </c>
      <c r="G1404" s="143" t="s">
        <v>107</v>
      </c>
      <c r="H1404" s="165">
        <v>5.0000000000000001E-3</v>
      </c>
      <c r="I1404" s="165">
        <v>6.2699999999999995E-4</v>
      </c>
      <c r="J1404" s="158">
        <v>18000000</v>
      </c>
      <c r="K1404" s="158">
        <f t="shared" si="251"/>
        <v>11286</v>
      </c>
      <c r="L1404" s="158"/>
      <c r="M1404" s="158"/>
      <c r="N1404" s="158">
        <f t="shared" ref="N1404:N1405" si="254">+J1404*I1404</f>
        <v>11286</v>
      </c>
      <c r="O1404" s="158"/>
      <c r="P1404" s="156"/>
    </row>
    <row r="1405" spans="1:17" s="16" customFormat="1" x14ac:dyDescent="0.2">
      <c r="A1405" t="s">
        <v>1681</v>
      </c>
      <c r="B1405" t="s">
        <v>1401</v>
      </c>
      <c r="C1405" s="16" t="s">
        <v>1723</v>
      </c>
      <c r="D1405" s="142" t="s">
        <v>1969</v>
      </c>
      <c r="E1405" s="143" t="s">
        <v>1970</v>
      </c>
      <c r="F1405" s="164" t="s">
        <v>1971</v>
      </c>
      <c r="G1405" s="143" t="s">
        <v>107</v>
      </c>
      <c r="H1405" s="165">
        <v>1</v>
      </c>
      <c r="I1405" s="165">
        <v>0.12536800000000001</v>
      </c>
      <c r="J1405" s="158">
        <v>9000000</v>
      </c>
      <c r="K1405" s="158">
        <f t="shared" si="251"/>
        <v>1128312</v>
      </c>
      <c r="L1405" s="158"/>
      <c r="M1405" s="158"/>
      <c r="N1405" s="158">
        <f t="shared" si="254"/>
        <v>1128312</v>
      </c>
      <c r="O1405" s="158"/>
      <c r="P1405" s="156"/>
    </row>
    <row r="1406" spans="1:17" ht="15.75" x14ac:dyDescent="0.25">
      <c r="A1406" t="s">
        <v>1681</v>
      </c>
      <c r="B1406" t="s">
        <v>1401</v>
      </c>
      <c r="D1406" s="151" t="s">
        <v>1972</v>
      </c>
      <c r="E1406" s="128"/>
      <c r="F1406" s="163"/>
      <c r="G1406" s="128"/>
      <c r="H1406" s="128"/>
      <c r="I1406" s="128"/>
      <c r="J1406" s="158"/>
      <c r="K1406" s="158"/>
      <c r="L1406" s="158"/>
      <c r="M1406" s="158"/>
      <c r="N1406" s="158"/>
      <c r="O1406" s="158"/>
      <c r="P1406" s="152"/>
    </row>
    <row r="1407" spans="1:17" s="1" customFormat="1" ht="15.75" customHeight="1" x14ac:dyDescent="0.2">
      <c r="A1407" t="s">
        <v>1681</v>
      </c>
      <c r="B1407" t="s">
        <v>1401</v>
      </c>
      <c r="C1407" s="1" t="s">
        <v>1683</v>
      </c>
      <c r="D1407" s="130" t="s">
        <v>857</v>
      </c>
      <c r="E1407" s="131" t="s">
        <v>1964</v>
      </c>
      <c r="F1407" s="131" t="s">
        <v>1965</v>
      </c>
      <c r="G1407" s="132" t="s">
        <v>107</v>
      </c>
      <c r="H1407" s="159">
        <v>18.379300000000001</v>
      </c>
      <c r="I1407" s="159"/>
      <c r="J1407" s="158"/>
      <c r="K1407" s="158"/>
      <c r="L1407" s="158"/>
      <c r="M1407" s="158"/>
      <c r="N1407" s="158"/>
      <c r="O1407" s="158"/>
      <c r="P1407" s="153"/>
      <c r="Q1407" s="35"/>
    </row>
    <row r="1408" spans="1:17" s="14" customFormat="1" x14ac:dyDescent="0.2">
      <c r="A1408" t="s">
        <v>1681</v>
      </c>
      <c r="B1408" t="s">
        <v>1401</v>
      </c>
      <c r="C1408" s="14" t="s">
        <v>24</v>
      </c>
      <c r="D1408" s="134" t="s">
        <v>858</v>
      </c>
      <c r="E1408" s="135" t="s">
        <v>18</v>
      </c>
      <c r="F1408" s="160" t="s">
        <v>23</v>
      </c>
      <c r="G1408" s="135" t="s">
        <v>24</v>
      </c>
      <c r="H1408" s="158">
        <v>36.619999999999997</v>
      </c>
      <c r="I1408" s="158">
        <v>673.05070000000001</v>
      </c>
      <c r="J1408" s="158">
        <v>22914.53</v>
      </c>
      <c r="K1408" s="158">
        <f t="shared" ref="K1408:K1413" si="255">+J1408*I1408</f>
        <v>15422640.456671</v>
      </c>
      <c r="L1408" s="158">
        <f t="shared" ref="L1408:L1409" si="256">+J1408*I1408</f>
        <v>15422640.456671</v>
      </c>
      <c r="M1408" s="158"/>
      <c r="N1408" s="158"/>
      <c r="O1408" s="158"/>
      <c r="P1408" s="154"/>
    </row>
    <row r="1409" spans="1:17" s="16" customFormat="1" x14ac:dyDescent="0.2">
      <c r="A1409" t="s">
        <v>1681</v>
      </c>
      <c r="B1409" t="s">
        <v>1401</v>
      </c>
      <c r="C1409" s="14" t="s">
        <v>24</v>
      </c>
      <c r="D1409" s="134" t="s">
        <v>859</v>
      </c>
      <c r="E1409" s="135" t="s">
        <v>52</v>
      </c>
      <c r="F1409" s="160" t="s">
        <v>1687</v>
      </c>
      <c r="G1409" s="135" t="s">
        <v>24</v>
      </c>
      <c r="H1409" s="158">
        <v>1.08</v>
      </c>
      <c r="I1409" s="158">
        <v>19.849699999999999</v>
      </c>
      <c r="J1409" s="158"/>
      <c r="K1409" s="158">
        <f t="shared" si="255"/>
        <v>0</v>
      </c>
      <c r="L1409" s="158">
        <f t="shared" si="256"/>
        <v>0</v>
      </c>
      <c r="M1409" s="158"/>
      <c r="N1409" s="158"/>
      <c r="O1409" s="158"/>
      <c r="P1409" s="156"/>
    </row>
    <row r="1410" spans="1:17" s="15" customFormat="1" ht="24" x14ac:dyDescent="0.2">
      <c r="A1410" t="s">
        <v>1681</v>
      </c>
      <c r="B1410" t="s">
        <v>1401</v>
      </c>
      <c r="C1410" s="124" t="s">
        <v>28</v>
      </c>
      <c r="D1410" s="138" t="s">
        <v>860</v>
      </c>
      <c r="E1410" s="139" t="s">
        <v>876</v>
      </c>
      <c r="F1410" s="161" t="s">
        <v>877</v>
      </c>
      <c r="G1410" s="139" t="s">
        <v>28</v>
      </c>
      <c r="H1410" s="162">
        <v>0.37</v>
      </c>
      <c r="I1410" s="162">
        <v>6.8003</v>
      </c>
      <c r="J1410" s="158">
        <v>239461</v>
      </c>
      <c r="K1410" s="158">
        <f t="shared" si="255"/>
        <v>1628406.6383</v>
      </c>
      <c r="L1410" s="158"/>
      <c r="M1410" s="158">
        <f t="shared" ref="M1410:M1411" si="257">+J1410*I1410</f>
        <v>1628406.6383</v>
      </c>
      <c r="N1410" s="158"/>
      <c r="O1410" s="158"/>
      <c r="P1410" s="155"/>
    </row>
    <row r="1411" spans="1:17" s="15" customFormat="1" x14ac:dyDescent="0.2">
      <c r="A1411" t="s">
        <v>1681</v>
      </c>
      <c r="B1411" t="s">
        <v>1401</v>
      </c>
      <c r="C1411" s="124" t="s">
        <v>28</v>
      </c>
      <c r="D1411" s="138" t="s">
        <v>861</v>
      </c>
      <c r="E1411" s="139" t="s">
        <v>193</v>
      </c>
      <c r="F1411" s="161" t="s">
        <v>31</v>
      </c>
      <c r="G1411" s="139" t="s">
        <v>28</v>
      </c>
      <c r="H1411" s="162">
        <v>0.71</v>
      </c>
      <c r="I1411" s="162">
        <v>13.049300000000001</v>
      </c>
      <c r="J1411" s="158">
        <v>106655</v>
      </c>
      <c r="K1411" s="158">
        <f t="shared" si="255"/>
        <v>1391773.0915000001</v>
      </c>
      <c r="L1411" s="158"/>
      <c r="M1411" s="158">
        <f t="shared" si="257"/>
        <v>1391773.0915000001</v>
      </c>
      <c r="N1411" s="158"/>
      <c r="O1411" s="158"/>
      <c r="P1411" s="155"/>
    </row>
    <row r="1412" spans="1:17" s="16" customFormat="1" x14ac:dyDescent="0.2">
      <c r="A1412" t="s">
        <v>1681</v>
      </c>
      <c r="B1412" t="s">
        <v>1401</v>
      </c>
      <c r="C1412" s="16" t="s">
        <v>1723</v>
      </c>
      <c r="D1412" s="142" t="s">
        <v>862</v>
      </c>
      <c r="E1412" s="143" t="s">
        <v>1967</v>
      </c>
      <c r="F1412" s="164" t="s">
        <v>1968</v>
      </c>
      <c r="G1412" s="143" t="s">
        <v>107</v>
      </c>
      <c r="H1412" s="165">
        <v>5.0000000000000001E-3</v>
      </c>
      <c r="I1412" s="165">
        <v>9.1897000000000006E-2</v>
      </c>
      <c r="J1412" s="158">
        <v>18000000</v>
      </c>
      <c r="K1412" s="158">
        <f t="shared" si="255"/>
        <v>1654146</v>
      </c>
      <c r="L1412" s="158"/>
      <c r="M1412" s="158"/>
      <c r="N1412" s="158">
        <f t="shared" ref="N1412:N1413" si="258">+J1412*I1412</f>
        <v>1654146</v>
      </c>
      <c r="O1412" s="158"/>
      <c r="P1412" s="156"/>
    </row>
    <row r="1413" spans="1:17" s="16" customFormat="1" x14ac:dyDescent="0.2">
      <c r="A1413" t="s">
        <v>1681</v>
      </c>
      <c r="B1413" t="s">
        <v>1401</v>
      </c>
      <c r="C1413" s="16" t="s">
        <v>1723</v>
      </c>
      <c r="D1413" s="142" t="s">
        <v>863</v>
      </c>
      <c r="E1413" s="143" t="s">
        <v>1970</v>
      </c>
      <c r="F1413" s="164" t="s">
        <v>1971</v>
      </c>
      <c r="G1413" s="143" t="s">
        <v>107</v>
      </c>
      <c r="H1413" s="165">
        <v>1</v>
      </c>
      <c r="I1413" s="165">
        <v>18.379300000000001</v>
      </c>
      <c r="J1413" s="158">
        <v>9000000</v>
      </c>
      <c r="K1413" s="158">
        <f t="shared" si="255"/>
        <v>165413700</v>
      </c>
      <c r="L1413" s="158"/>
      <c r="M1413" s="158"/>
      <c r="N1413" s="158">
        <f t="shared" si="258"/>
        <v>165413700</v>
      </c>
      <c r="O1413" s="158"/>
      <c r="P1413" s="156"/>
    </row>
    <row r="1414" spans="1:17" s="1" customFormat="1" x14ac:dyDescent="0.2">
      <c r="A1414" t="s">
        <v>1681</v>
      </c>
      <c r="B1414" t="s">
        <v>1401</v>
      </c>
      <c r="C1414" s="16" t="s">
        <v>1723</v>
      </c>
      <c r="D1414" s="130" t="s">
        <v>865</v>
      </c>
      <c r="E1414" s="131" t="s">
        <v>1973</v>
      </c>
      <c r="F1414" s="131" t="s">
        <v>1974</v>
      </c>
      <c r="G1414" s="132" t="s">
        <v>42</v>
      </c>
      <c r="H1414" s="159">
        <v>2904</v>
      </c>
      <c r="I1414" s="159">
        <f>+H1414</f>
        <v>2904</v>
      </c>
      <c r="J1414" s="166">
        <v>800</v>
      </c>
      <c r="K1414" s="166">
        <f>+J1414*I1414</f>
        <v>2323200</v>
      </c>
      <c r="L1414" s="158"/>
      <c r="M1414" s="158"/>
      <c r="N1414" s="166">
        <f>+J1414*I1414</f>
        <v>2323200</v>
      </c>
      <c r="O1414" s="158"/>
      <c r="P1414" s="153"/>
    </row>
    <row r="1415" spans="1:17" ht="15.75" x14ac:dyDescent="0.25">
      <c r="A1415" t="s">
        <v>1681</v>
      </c>
      <c r="B1415" t="s">
        <v>1401</v>
      </c>
      <c r="D1415" s="151" t="s">
        <v>1975</v>
      </c>
      <c r="E1415" s="128"/>
      <c r="F1415" s="163"/>
      <c r="G1415" s="128"/>
      <c r="H1415" s="128"/>
      <c r="I1415" s="128"/>
      <c r="J1415" s="158"/>
      <c r="K1415" s="158"/>
      <c r="L1415" s="158"/>
      <c r="M1415" s="158"/>
      <c r="N1415" s="158"/>
      <c r="O1415" s="158"/>
      <c r="P1415" s="152"/>
    </row>
    <row r="1416" spans="1:17" s="1" customFormat="1" x14ac:dyDescent="0.2">
      <c r="A1416" t="s">
        <v>1681</v>
      </c>
      <c r="B1416" t="s">
        <v>1401</v>
      </c>
      <c r="C1416" s="1" t="s">
        <v>1683</v>
      </c>
      <c r="D1416" s="130" t="s">
        <v>871</v>
      </c>
      <c r="E1416" s="131" t="s">
        <v>890</v>
      </c>
      <c r="F1416" s="131" t="s">
        <v>1976</v>
      </c>
      <c r="G1416" s="132" t="s">
        <v>107</v>
      </c>
      <c r="H1416" s="159">
        <v>4.5229999999999997</v>
      </c>
      <c r="I1416" s="159"/>
      <c r="J1416" s="158"/>
      <c r="K1416" s="158"/>
      <c r="L1416" s="158"/>
      <c r="M1416" s="158"/>
      <c r="N1416" s="158"/>
      <c r="O1416" s="158"/>
      <c r="P1416" s="153"/>
      <c r="Q1416" s="35"/>
    </row>
    <row r="1417" spans="1:17" s="14" customFormat="1" x14ac:dyDescent="0.2">
      <c r="A1417" t="s">
        <v>1681</v>
      </c>
      <c r="B1417" t="s">
        <v>1401</v>
      </c>
      <c r="C1417" s="14" t="s">
        <v>24</v>
      </c>
      <c r="D1417" s="134" t="s">
        <v>874</v>
      </c>
      <c r="E1417" s="135" t="s">
        <v>18</v>
      </c>
      <c r="F1417" s="160" t="s">
        <v>23</v>
      </c>
      <c r="G1417" s="135" t="s">
        <v>24</v>
      </c>
      <c r="H1417" s="158">
        <v>15.79</v>
      </c>
      <c r="I1417" s="158">
        <v>71.417500000000004</v>
      </c>
      <c r="J1417" s="158">
        <v>22914.53</v>
      </c>
      <c r="K1417" s="158">
        <f t="shared" ref="K1417:K1435" si="259">+J1417*I1417</f>
        <v>1636498.446275</v>
      </c>
      <c r="L1417" s="158">
        <f t="shared" ref="L1417:L1418" si="260">+J1417*I1417</f>
        <v>1636498.446275</v>
      </c>
      <c r="M1417" s="158"/>
      <c r="N1417" s="158"/>
      <c r="O1417" s="158"/>
      <c r="P1417" s="154"/>
    </row>
    <row r="1418" spans="1:17" s="16" customFormat="1" x14ac:dyDescent="0.2">
      <c r="A1418" t="s">
        <v>1681</v>
      </c>
      <c r="B1418" t="s">
        <v>1401</v>
      </c>
      <c r="C1418" s="14" t="s">
        <v>24</v>
      </c>
      <c r="D1418" s="134" t="s">
        <v>875</v>
      </c>
      <c r="E1418" s="135" t="s">
        <v>52</v>
      </c>
      <c r="F1418" s="160" t="s">
        <v>1687</v>
      </c>
      <c r="G1418" s="135" t="s">
        <v>24</v>
      </c>
      <c r="H1418" s="158">
        <v>1.75</v>
      </c>
      <c r="I1418" s="158">
        <v>7.9151999999999996</v>
      </c>
      <c r="J1418" s="158"/>
      <c r="K1418" s="158">
        <f t="shared" si="259"/>
        <v>0</v>
      </c>
      <c r="L1418" s="158">
        <f t="shared" si="260"/>
        <v>0</v>
      </c>
      <c r="M1418" s="158"/>
      <c r="N1418" s="158"/>
      <c r="O1418" s="158"/>
      <c r="P1418" s="156"/>
    </row>
    <row r="1419" spans="1:17" s="15" customFormat="1" ht="24" x14ac:dyDescent="0.2">
      <c r="A1419" t="s">
        <v>1681</v>
      </c>
      <c r="B1419" t="s">
        <v>1401</v>
      </c>
      <c r="C1419" s="124" t="s">
        <v>28</v>
      </c>
      <c r="D1419" s="138" t="s">
        <v>878</v>
      </c>
      <c r="E1419" s="139" t="s">
        <v>876</v>
      </c>
      <c r="F1419" s="161" t="s">
        <v>877</v>
      </c>
      <c r="G1419" s="139" t="s">
        <v>28</v>
      </c>
      <c r="H1419" s="162">
        <v>1.56</v>
      </c>
      <c r="I1419" s="162">
        <v>7.0557999999999996</v>
      </c>
      <c r="J1419" s="158">
        <v>239461</v>
      </c>
      <c r="K1419" s="158">
        <f t="shared" si="259"/>
        <v>1689588.9238</v>
      </c>
      <c r="L1419" s="158"/>
      <c r="M1419" s="158">
        <f t="shared" ref="M1419:M1422" si="261">+J1419*I1419</f>
        <v>1689588.9238</v>
      </c>
      <c r="N1419" s="158"/>
      <c r="O1419" s="158"/>
      <c r="P1419" s="155"/>
    </row>
    <row r="1420" spans="1:17" s="15" customFormat="1" ht="24" x14ac:dyDescent="0.2">
      <c r="A1420" t="s">
        <v>1681</v>
      </c>
      <c r="B1420" t="s">
        <v>1401</v>
      </c>
      <c r="C1420" s="124" t="s">
        <v>28</v>
      </c>
      <c r="D1420" s="138" t="s">
        <v>879</v>
      </c>
      <c r="E1420" s="139" t="s">
        <v>683</v>
      </c>
      <c r="F1420" s="161" t="s">
        <v>684</v>
      </c>
      <c r="G1420" s="139" t="s">
        <v>28</v>
      </c>
      <c r="H1420" s="162">
        <v>0.57999999999999996</v>
      </c>
      <c r="I1420" s="162">
        <v>2.6233</v>
      </c>
      <c r="J1420" s="158">
        <v>16353</v>
      </c>
      <c r="K1420" s="158">
        <f t="shared" si="259"/>
        <v>42898.8249</v>
      </c>
      <c r="L1420" s="158"/>
      <c r="M1420" s="158">
        <f t="shared" si="261"/>
        <v>42898.8249</v>
      </c>
      <c r="N1420" s="158"/>
      <c r="O1420" s="158"/>
      <c r="P1420" s="155"/>
    </row>
    <row r="1421" spans="1:17" s="15" customFormat="1" x14ac:dyDescent="0.2">
      <c r="A1421" t="s">
        <v>1681</v>
      </c>
      <c r="B1421" t="s">
        <v>1401</v>
      </c>
      <c r="C1421" s="124" t="s">
        <v>28</v>
      </c>
      <c r="D1421" s="138" t="s">
        <v>880</v>
      </c>
      <c r="E1421" s="139" t="s">
        <v>30</v>
      </c>
      <c r="F1421" s="161" t="s">
        <v>31</v>
      </c>
      <c r="G1421" s="139" t="s">
        <v>28</v>
      </c>
      <c r="H1421" s="162">
        <v>0.19</v>
      </c>
      <c r="I1421" s="162">
        <v>0.85936199999999996</v>
      </c>
      <c r="J1421" s="158">
        <v>106655</v>
      </c>
      <c r="K1421" s="158">
        <f t="shared" si="259"/>
        <v>91655.254109999994</v>
      </c>
      <c r="L1421" s="158"/>
      <c r="M1421" s="158">
        <f t="shared" si="261"/>
        <v>91655.254109999994</v>
      </c>
      <c r="N1421" s="158"/>
      <c r="O1421" s="158"/>
      <c r="P1421" s="155"/>
    </row>
    <row r="1422" spans="1:17" s="15" customFormat="1" x14ac:dyDescent="0.2">
      <c r="A1422" t="s">
        <v>1681</v>
      </c>
      <c r="B1422" t="s">
        <v>1401</v>
      </c>
      <c r="C1422" s="124" t="s">
        <v>28</v>
      </c>
      <c r="D1422" s="138" t="s">
        <v>881</v>
      </c>
      <c r="E1422" s="139" t="s">
        <v>687</v>
      </c>
      <c r="F1422" s="161" t="s">
        <v>688</v>
      </c>
      <c r="G1422" s="139" t="s">
        <v>28</v>
      </c>
      <c r="H1422" s="162">
        <v>0.67</v>
      </c>
      <c r="I1422" s="162">
        <v>3.0304000000000002</v>
      </c>
      <c r="J1422" s="158">
        <v>1586</v>
      </c>
      <c r="K1422" s="158">
        <f t="shared" si="259"/>
        <v>4806.2144000000008</v>
      </c>
      <c r="L1422" s="158"/>
      <c r="M1422" s="158">
        <f t="shared" si="261"/>
        <v>4806.2144000000008</v>
      </c>
      <c r="N1422" s="158"/>
      <c r="O1422" s="158"/>
      <c r="P1422" s="155"/>
    </row>
    <row r="1423" spans="1:17" s="16" customFormat="1" x14ac:dyDescent="0.2">
      <c r="A1423" t="s">
        <v>1681</v>
      </c>
      <c r="B1423" t="s">
        <v>1401</v>
      </c>
      <c r="C1423" s="16" t="s">
        <v>1723</v>
      </c>
      <c r="D1423" s="142" t="s">
        <v>882</v>
      </c>
      <c r="E1423" s="143" t="s">
        <v>1177</v>
      </c>
      <c r="F1423" s="164" t="s">
        <v>1800</v>
      </c>
      <c r="G1423" s="143" t="s">
        <v>107</v>
      </c>
      <c r="H1423" s="165">
        <v>3.0000000000000001E-3</v>
      </c>
      <c r="I1423" s="165">
        <v>1.3568999999999999E-2</v>
      </c>
      <c r="J1423" s="158">
        <v>15402000</v>
      </c>
      <c r="K1423" s="158">
        <f t="shared" si="259"/>
        <v>208989.73799999998</v>
      </c>
      <c r="L1423" s="158"/>
      <c r="M1423" s="158"/>
      <c r="N1423" s="158">
        <f t="shared" ref="N1423:N1435" si="262">+J1423*I1423</f>
        <v>208989.73799999998</v>
      </c>
      <c r="O1423" s="158"/>
      <c r="P1423" s="156"/>
    </row>
    <row r="1424" spans="1:17" s="16" customFormat="1" x14ac:dyDescent="0.2">
      <c r="A1424" t="s">
        <v>1681</v>
      </c>
      <c r="B1424" t="s">
        <v>1401</v>
      </c>
      <c r="C1424" s="16" t="s">
        <v>1723</v>
      </c>
      <c r="D1424" s="142" t="s">
        <v>883</v>
      </c>
      <c r="E1424" s="143" t="s">
        <v>124</v>
      </c>
      <c r="F1424" s="164" t="s">
        <v>125</v>
      </c>
      <c r="G1424" s="143" t="s">
        <v>107</v>
      </c>
      <c r="H1424" s="165">
        <v>1.0000000000000001E-5</v>
      </c>
      <c r="I1424" s="165">
        <v>4.5000000000000003E-5</v>
      </c>
      <c r="J1424" s="158">
        <v>9500000</v>
      </c>
      <c r="K1424" s="158">
        <f t="shared" si="259"/>
        <v>427.5</v>
      </c>
      <c r="L1424" s="158"/>
      <c r="M1424" s="158"/>
      <c r="N1424" s="158">
        <f t="shared" si="262"/>
        <v>427.5</v>
      </c>
      <c r="O1424" s="158"/>
      <c r="P1424" s="156"/>
    </row>
    <row r="1425" spans="1:17" s="16" customFormat="1" x14ac:dyDescent="0.2">
      <c r="A1425" t="s">
        <v>1681</v>
      </c>
      <c r="B1425" t="s">
        <v>1401</v>
      </c>
      <c r="C1425" s="16" t="s">
        <v>1723</v>
      </c>
      <c r="D1425" s="142" t="s">
        <v>884</v>
      </c>
      <c r="E1425" s="143" t="s">
        <v>911</v>
      </c>
      <c r="F1425" s="164" t="s">
        <v>912</v>
      </c>
      <c r="G1425" s="143" t="s">
        <v>107</v>
      </c>
      <c r="H1425" s="165">
        <v>3.1E-4</v>
      </c>
      <c r="I1425" s="165">
        <v>1.402E-3</v>
      </c>
      <c r="J1425" s="158">
        <v>18482000</v>
      </c>
      <c r="K1425" s="158">
        <f t="shared" si="259"/>
        <v>25911.763999999999</v>
      </c>
      <c r="L1425" s="158"/>
      <c r="M1425" s="158"/>
      <c r="N1425" s="158">
        <f t="shared" si="262"/>
        <v>25911.763999999999</v>
      </c>
      <c r="O1425" s="158"/>
      <c r="P1425" s="156"/>
    </row>
    <row r="1426" spans="1:17" s="16" customFormat="1" x14ac:dyDescent="0.2">
      <c r="A1426" t="s">
        <v>1681</v>
      </c>
      <c r="B1426" t="s">
        <v>1401</v>
      </c>
      <c r="C1426" s="16" t="s">
        <v>1723</v>
      </c>
      <c r="D1426" s="142" t="s">
        <v>887</v>
      </c>
      <c r="E1426" s="143" t="s">
        <v>1182</v>
      </c>
      <c r="F1426" s="164" t="s">
        <v>1183</v>
      </c>
      <c r="G1426" s="143" t="s">
        <v>107</v>
      </c>
      <c r="H1426" s="165">
        <v>5.9999999999999995E-4</v>
      </c>
      <c r="I1426" s="165">
        <v>2.7139999999999998E-3</v>
      </c>
      <c r="J1426" s="158">
        <v>14286000</v>
      </c>
      <c r="K1426" s="158">
        <f t="shared" si="259"/>
        <v>38772.203999999998</v>
      </c>
      <c r="L1426" s="158"/>
      <c r="M1426" s="158"/>
      <c r="N1426" s="158">
        <f t="shared" si="262"/>
        <v>38772.203999999998</v>
      </c>
      <c r="O1426" s="158"/>
      <c r="P1426" s="156"/>
    </row>
    <row r="1427" spans="1:17" s="16" customFormat="1" x14ac:dyDescent="0.2">
      <c r="A1427" t="s">
        <v>1681</v>
      </c>
      <c r="B1427" t="s">
        <v>1401</v>
      </c>
      <c r="C1427" s="16" t="s">
        <v>1723</v>
      </c>
      <c r="D1427" s="142" t="s">
        <v>888</v>
      </c>
      <c r="E1427" s="143" t="s">
        <v>1185</v>
      </c>
      <c r="F1427" s="164" t="s">
        <v>1186</v>
      </c>
      <c r="G1427" s="143" t="s">
        <v>107</v>
      </c>
      <c r="H1427" s="165">
        <v>3.0000000000000001E-5</v>
      </c>
      <c r="I1427" s="165">
        <v>1.36E-4</v>
      </c>
      <c r="J1427" s="158">
        <v>7812501</v>
      </c>
      <c r="K1427" s="158">
        <f t="shared" si="259"/>
        <v>1062.5001359999999</v>
      </c>
      <c r="L1427" s="158"/>
      <c r="M1427" s="158"/>
      <c r="N1427" s="158">
        <f t="shared" si="262"/>
        <v>1062.5001359999999</v>
      </c>
      <c r="O1427" s="158"/>
      <c r="P1427" s="156"/>
    </row>
    <row r="1428" spans="1:17" s="16" customFormat="1" x14ac:dyDescent="0.2">
      <c r="A1428" t="s">
        <v>1681</v>
      </c>
      <c r="B1428" t="s">
        <v>1401</v>
      </c>
      <c r="C1428" s="16" t="s">
        <v>1723</v>
      </c>
      <c r="D1428" s="142" t="s">
        <v>1977</v>
      </c>
      <c r="E1428" s="143" t="s">
        <v>1188</v>
      </c>
      <c r="F1428" s="164" t="s">
        <v>1189</v>
      </c>
      <c r="G1428" s="143" t="s">
        <v>107</v>
      </c>
      <c r="H1428" s="165">
        <v>1.9400000000000001E-3</v>
      </c>
      <c r="I1428" s="165">
        <v>8.7749999999999998E-3</v>
      </c>
      <c r="J1428" s="158">
        <v>10500000</v>
      </c>
      <c r="K1428" s="158">
        <f t="shared" si="259"/>
        <v>92137.5</v>
      </c>
      <c r="L1428" s="158"/>
      <c r="M1428" s="158"/>
      <c r="N1428" s="158">
        <f t="shared" si="262"/>
        <v>92137.5</v>
      </c>
      <c r="O1428" s="158"/>
      <c r="P1428" s="156"/>
    </row>
    <row r="1429" spans="1:17" s="16" customFormat="1" x14ac:dyDescent="0.2">
      <c r="A1429" t="s">
        <v>1681</v>
      </c>
      <c r="B1429" t="s">
        <v>1401</v>
      </c>
      <c r="C1429" s="16" t="s">
        <v>1723</v>
      </c>
      <c r="D1429" s="142" t="s">
        <v>1978</v>
      </c>
      <c r="E1429" s="143" t="s">
        <v>690</v>
      </c>
      <c r="F1429" s="164" t="s">
        <v>691</v>
      </c>
      <c r="G1429" s="143" t="s">
        <v>420</v>
      </c>
      <c r="H1429" s="165">
        <v>0.5</v>
      </c>
      <c r="I1429" s="165">
        <v>2.2614999999999998</v>
      </c>
      <c r="J1429" s="158">
        <v>4210</v>
      </c>
      <c r="K1429" s="158">
        <f t="shared" si="259"/>
        <v>9520.9149999999991</v>
      </c>
      <c r="L1429" s="158"/>
      <c r="M1429" s="158"/>
      <c r="N1429" s="158">
        <f t="shared" si="262"/>
        <v>9520.9149999999991</v>
      </c>
      <c r="O1429" s="158"/>
      <c r="P1429" s="156"/>
    </row>
    <row r="1430" spans="1:17" s="16" customFormat="1" x14ac:dyDescent="0.2">
      <c r="A1430" t="s">
        <v>1681</v>
      </c>
      <c r="B1430" t="s">
        <v>1401</v>
      </c>
      <c r="C1430" s="16" t="s">
        <v>1723</v>
      </c>
      <c r="D1430" s="142" t="s">
        <v>1979</v>
      </c>
      <c r="E1430" s="143" t="s">
        <v>693</v>
      </c>
      <c r="F1430" s="164" t="s">
        <v>694</v>
      </c>
      <c r="G1430" s="143" t="s">
        <v>107</v>
      </c>
      <c r="H1430" s="165">
        <v>2.5999999999999999E-3</v>
      </c>
      <c r="I1430" s="165">
        <v>1.176E-2</v>
      </c>
      <c r="J1430" s="158">
        <v>11250000</v>
      </c>
      <c r="K1430" s="158">
        <f t="shared" si="259"/>
        <v>132300</v>
      </c>
      <c r="L1430" s="158"/>
      <c r="M1430" s="158"/>
      <c r="N1430" s="158">
        <f t="shared" si="262"/>
        <v>132300</v>
      </c>
      <c r="O1430" s="158"/>
      <c r="P1430" s="156"/>
    </row>
    <row r="1431" spans="1:17" s="16" customFormat="1" ht="24" x14ac:dyDescent="0.2">
      <c r="A1431" t="s">
        <v>1681</v>
      </c>
      <c r="B1431" t="s">
        <v>1401</v>
      </c>
      <c r="C1431" s="16" t="s">
        <v>1723</v>
      </c>
      <c r="D1431" s="142" t="s">
        <v>1980</v>
      </c>
      <c r="E1431" s="143" t="s">
        <v>1193</v>
      </c>
      <c r="F1431" s="164" t="s">
        <v>1194</v>
      </c>
      <c r="G1431" s="143" t="s">
        <v>420</v>
      </c>
      <c r="H1431" s="165">
        <v>1.0300000000000001E-3</v>
      </c>
      <c r="I1431" s="165">
        <v>4.6589999999999999E-3</v>
      </c>
      <c r="J1431" s="158">
        <v>4107143</v>
      </c>
      <c r="K1431" s="158">
        <f t="shared" si="259"/>
        <v>19135.179237</v>
      </c>
      <c r="L1431" s="158"/>
      <c r="M1431" s="158"/>
      <c r="N1431" s="158">
        <f t="shared" si="262"/>
        <v>19135.179237</v>
      </c>
      <c r="O1431" s="158"/>
      <c r="P1431" s="156"/>
    </row>
    <row r="1432" spans="1:17" s="16" customFormat="1" x14ac:dyDescent="0.2">
      <c r="A1432" t="s">
        <v>1681</v>
      </c>
      <c r="B1432" t="s">
        <v>1401</v>
      </c>
      <c r="C1432" s="16" t="s">
        <v>1723</v>
      </c>
      <c r="D1432" s="142" t="s">
        <v>1981</v>
      </c>
      <c r="E1432" s="143" t="s">
        <v>885</v>
      </c>
      <c r="F1432" s="164" t="s">
        <v>886</v>
      </c>
      <c r="G1432" s="143" t="s">
        <v>42</v>
      </c>
      <c r="H1432" s="165">
        <v>0.03</v>
      </c>
      <c r="I1432" s="165">
        <v>0.135689</v>
      </c>
      <c r="J1432" s="158">
        <v>15000</v>
      </c>
      <c r="K1432" s="158">
        <f t="shared" si="259"/>
        <v>2035.335</v>
      </c>
      <c r="L1432" s="158"/>
      <c r="M1432" s="158"/>
      <c r="N1432" s="158">
        <f t="shared" si="262"/>
        <v>2035.335</v>
      </c>
      <c r="O1432" s="158"/>
      <c r="P1432" s="156"/>
    </row>
    <row r="1433" spans="1:17" s="16" customFormat="1" x14ac:dyDescent="0.2">
      <c r="A1433" t="s">
        <v>1681</v>
      </c>
      <c r="B1433" t="s">
        <v>1401</v>
      </c>
      <c r="C1433" s="16" t="s">
        <v>1723</v>
      </c>
      <c r="D1433" s="142" t="s">
        <v>1982</v>
      </c>
      <c r="E1433" s="143" t="s">
        <v>696</v>
      </c>
      <c r="F1433" s="164" t="s">
        <v>486</v>
      </c>
      <c r="G1433" s="143" t="s">
        <v>250</v>
      </c>
      <c r="H1433" s="165">
        <v>0.15</v>
      </c>
      <c r="I1433" s="165">
        <v>0.67844400000000005</v>
      </c>
      <c r="J1433" s="158">
        <v>2500</v>
      </c>
      <c r="K1433" s="158">
        <f t="shared" si="259"/>
        <v>1696.1100000000001</v>
      </c>
      <c r="L1433" s="158"/>
      <c r="M1433" s="158"/>
      <c r="N1433" s="158">
        <f t="shared" si="262"/>
        <v>1696.1100000000001</v>
      </c>
      <c r="O1433" s="158"/>
      <c r="P1433" s="156"/>
    </row>
    <row r="1434" spans="1:17" s="16" customFormat="1" ht="36" x14ac:dyDescent="0.2">
      <c r="A1434" t="s">
        <v>1681</v>
      </c>
      <c r="B1434" t="s">
        <v>1401</v>
      </c>
      <c r="C1434" s="16" t="s">
        <v>1723</v>
      </c>
      <c r="D1434" s="142" t="s">
        <v>1983</v>
      </c>
      <c r="E1434" s="143" t="s">
        <v>1984</v>
      </c>
      <c r="F1434" s="164" t="s">
        <v>1985</v>
      </c>
      <c r="G1434" s="143" t="s">
        <v>107</v>
      </c>
      <c r="H1434" s="165">
        <v>1E-4</v>
      </c>
      <c r="I1434" s="165">
        <v>4.5199999999999998E-4</v>
      </c>
      <c r="J1434" s="158">
        <v>9000000</v>
      </c>
      <c r="K1434" s="158">
        <f t="shared" si="259"/>
        <v>4068</v>
      </c>
      <c r="L1434" s="158"/>
      <c r="M1434" s="158"/>
      <c r="N1434" s="158">
        <f t="shared" si="262"/>
        <v>4068</v>
      </c>
      <c r="O1434" s="158"/>
      <c r="P1434" s="156"/>
    </row>
    <row r="1435" spans="1:17" s="16" customFormat="1" ht="36" x14ac:dyDescent="0.2">
      <c r="A1435" t="s">
        <v>1681</v>
      </c>
      <c r="B1435" t="s">
        <v>1401</v>
      </c>
      <c r="C1435" s="16" t="s">
        <v>1723</v>
      </c>
      <c r="D1435" s="142" t="s">
        <v>1986</v>
      </c>
      <c r="E1435" s="143" t="s">
        <v>1197</v>
      </c>
      <c r="F1435" s="164" t="s">
        <v>1198</v>
      </c>
      <c r="G1435" s="143" t="s">
        <v>107</v>
      </c>
      <c r="H1435" s="165">
        <v>1</v>
      </c>
      <c r="I1435" s="165">
        <v>4.5229999999999997</v>
      </c>
      <c r="J1435" s="158">
        <v>9000000</v>
      </c>
      <c r="K1435" s="158">
        <f t="shared" si="259"/>
        <v>40707000</v>
      </c>
      <c r="L1435" s="158"/>
      <c r="M1435" s="158"/>
      <c r="N1435" s="158">
        <f t="shared" si="262"/>
        <v>40707000</v>
      </c>
      <c r="O1435" s="158"/>
      <c r="P1435" s="156"/>
    </row>
    <row r="1436" spans="1:17" ht="15.75" x14ac:dyDescent="0.25">
      <c r="A1436" t="s">
        <v>1681</v>
      </c>
      <c r="B1436" t="s">
        <v>1401</v>
      </c>
      <c r="D1436" s="151" t="s">
        <v>1987</v>
      </c>
      <c r="E1436" s="128"/>
      <c r="F1436" s="163"/>
      <c r="G1436" s="128"/>
      <c r="H1436" s="128"/>
      <c r="I1436" s="128"/>
      <c r="J1436" s="158"/>
      <c r="K1436" s="158"/>
      <c r="L1436" s="158"/>
      <c r="M1436" s="158"/>
      <c r="N1436" s="158"/>
      <c r="O1436" s="158"/>
      <c r="P1436" s="152"/>
    </row>
    <row r="1437" spans="1:17" s="1" customFormat="1" ht="25.5" x14ac:dyDescent="0.2">
      <c r="A1437" t="s">
        <v>1681</v>
      </c>
      <c r="B1437" t="s">
        <v>1401</v>
      </c>
      <c r="C1437" s="1" t="s">
        <v>1683</v>
      </c>
      <c r="D1437" s="130" t="s">
        <v>889</v>
      </c>
      <c r="E1437" s="131" t="s">
        <v>1988</v>
      </c>
      <c r="F1437" s="131" t="s">
        <v>1989</v>
      </c>
      <c r="G1437" s="132" t="s">
        <v>1692</v>
      </c>
      <c r="H1437" s="159">
        <v>2.4459999999999999E-2</v>
      </c>
      <c r="I1437" s="159"/>
      <c r="J1437" s="158"/>
      <c r="K1437" s="158"/>
      <c r="L1437" s="158"/>
      <c r="M1437" s="158"/>
      <c r="N1437" s="158"/>
      <c r="O1437" s="158"/>
      <c r="P1437" s="153"/>
      <c r="Q1437" s="35"/>
    </row>
    <row r="1438" spans="1:17" s="14" customFormat="1" x14ac:dyDescent="0.2">
      <c r="A1438" t="s">
        <v>1681</v>
      </c>
      <c r="B1438" t="s">
        <v>1401</v>
      </c>
      <c r="C1438" s="14" t="s">
        <v>24</v>
      </c>
      <c r="D1438" s="134" t="s">
        <v>892</v>
      </c>
      <c r="E1438" s="135" t="s">
        <v>18</v>
      </c>
      <c r="F1438" s="160" t="s">
        <v>23</v>
      </c>
      <c r="G1438" s="135" t="s">
        <v>24</v>
      </c>
      <c r="H1438" s="158">
        <v>1569.4</v>
      </c>
      <c r="I1438" s="158">
        <v>38.387500000000003</v>
      </c>
      <c r="J1438" s="158">
        <v>22914.53</v>
      </c>
      <c r="K1438" s="158">
        <f t="shared" ref="K1438:K1454" si="263">+J1438*I1438</f>
        <v>879631.52037499996</v>
      </c>
      <c r="L1438" s="158">
        <f t="shared" ref="L1438:L1439" si="264">+J1438*I1438</f>
        <v>879631.52037499996</v>
      </c>
      <c r="M1438" s="158"/>
      <c r="N1438" s="158"/>
      <c r="O1438" s="158"/>
      <c r="P1438" s="154"/>
    </row>
    <row r="1439" spans="1:17" s="16" customFormat="1" x14ac:dyDescent="0.2">
      <c r="A1439" t="s">
        <v>1681</v>
      </c>
      <c r="B1439" t="s">
        <v>1401</v>
      </c>
      <c r="C1439" s="14" t="s">
        <v>24</v>
      </c>
      <c r="D1439" s="134" t="s">
        <v>893</v>
      </c>
      <c r="E1439" s="135" t="s">
        <v>52</v>
      </c>
      <c r="F1439" s="160" t="s">
        <v>1687</v>
      </c>
      <c r="G1439" s="135" t="s">
        <v>24</v>
      </c>
      <c r="H1439" s="158">
        <v>100.68</v>
      </c>
      <c r="I1439" s="158">
        <v>2.4626000000000001</v>
      </c>
      <c r="J1439" s="158"/>
      <c r="K1439" s="158">
        <f t="shared" si="263"/>
        <v>0</v>
      </c>
      <c r="L1439" s="158">
        <f t="shared" si="264"/>
        <v>0</v>
      </c>
      <c r="M1439" s="158"/>
      <c r="N1439" s="158"/>
      <c r="O1439" s="158"/>
      <c r="P1439" s="156"/>
    </row>
    <row r="1440" spans="1:17" s="15" customFormat="1" x14ac:dyDescent="0.2">
      <c r="A1440" t="s">
        <v>1681</v>
      </c>
      <c r="B1440" t="s">
        <v>1401</v>
      </c>
      <c r="C1440" s="124" t="s">
        <v>28</v>
      </c>
      <c r="D1440" s="138" t="s">
        <v>894</v>
      </c>
      <c r="E1440" s="139" t="s">
        <v>262</v>
      </c>
      <c r="F1440" s="161" t="s">
        <v>263</v>
      </c>
      <c r="G1440" s="139" t="s">
        <v>28</v>
      </c>
      <c r="H1440" s="162">
        <v>0.27</v>
      </c>
      <c r="I1440" s="162">
        <v>6.6039999999999996E-3</v>
      </c>
      <c r="J1440" s="158">
        <v>140201</v>
      </c>
      <c r="K1440" s="158">
        <f t="shared" si="263"/>
        <v>925.88740399999995</v>
      </c>
      <c r="L1440" s="158"/>
      <c r="M1440" s="158">
        <f t="shared" ref="M1440:M1445" si="265">+J1440*I1440</f>
        <v>925.88740399999995</v>
      </c>
      <c r="N1440" s="158"/>
      <c r="O1440" s="158"/>
      <c r="P1440" s="155"/>
    </row>
    <row r="1441" spans="1:17" s="15" customFormat="1" x14ac:dyDescent="0.2">
      <c r="A1441" t="s">
        <v>1681</v>
      </c>
      <c r="B1441" t="s">
        <v>1401</v>
      </c>
      <c r="C1441" s="124" t="s">
        <v>28</v>
      </c>
      <c r="D1441" s="138" t="s">
        <v>895</v>
      </c>
      <c r="E1441" s="139" t="s">
        <v>1728</v>
      </c>
      <c r="F1441" s="161" t="s">
        <v>1729</v>
      </c>
      <c r="G1441" s="139" t="s">
        <v>28</v>
      </c>
      <c r="H1441" s="162">
        <v>61.88</v>
      </c>
      <c r="I1441" s="162">
        <v>1.5136000000000001</v>
      </c>
      <c r="J1441" s="158">
        <v>1592</v>
      </c>
      <c r="K1441" s="158">
        <f t="shared" si="263"/>
        <v>2409.6512000000002</v>
      </c>
      <c r="L1441" s="158"/>
      <c r="M1441" s="158">
        <f t="shared" si="265"/>
        <v>2409.6512000000002</v>
      </c>
      <c r="N1441" s="158"/>
      <c r="O1441" s="158"/>
      <c r="P1441" s="155"/>
    </row>
    <row r="1442" spans="1:17" s="15" customFormat="1" ht="24" x14ac:dyDescent="0.2">
      <c r="A1442" t="s">
        <v>1681</v>
      </c>
      <c r="B1442" t="s">
        <v>1401</v>
      </c>
      <c r="C1442" s="124" t="s">
        <v>28</v>
      </c>
      <c r="D1442" s="138" t="s">
        <v>896</v>
      </c>
      <c r="E1442" s="139" t="s">
        <v>876</v>
      </c>
      <c r="F1442" s="161" t="s">
        <v>877</v>
      </c>
      <c r="G1442" s="139" t="s">
        <v>28</v>
      </c>
      <c r="H1442" s="162">
        <v>96.14</v>
      </c>
      <c r="I1442" s="162">
        <v>2.3515999999999999</v>
      </c>
      <c r="J1442" s="158">
        <v>239461</v>
      </c>
      <c r="K1442" s="158">
        <f t="shared" si="263"/>
        <v>563116.48759999999</v>
      </c>
      <c r="L1442" s="158"/>
      <c r="M1442" s="158">
        <f t="shared" si="265"/>
        <v>563116.48759999999</v>
      </c>
      <c r="N1442" s="158"/>
      <c r="O1442" s="158"/>
      <c r="P1442" s="155"/>
    </row>
    <row r="1443" spans="1:17" s="15" customFormat="1" x14ac:dyDescent="0.2">
      <c r="A1443" t="s">
        <v>1681</v>
      </c>
      <c r="B1443" t="s">
        <v>1401</v>
      </c>
      <c r="C1443" s="124" t="s">
        <v>28</v>
      </c>
      <c r="D1443" s="138" t="s">
        <v>897</v>
      </c>
      <c r="E1443" s="139" t="s">
        <v>1767</v>
      </c>
      <c r="F1443" s="161" t="s">
        <v>1768</v>
      </c>
      <c r="G1443" s="139" t="s">
        <v>28</v>
      </c>
      <c r="H1443" s="162">
        <v>1.9</v>
      </c>
      <c r="I1443" s="162">
        <v>4.6474000000000001E-2</v>
      </c>
      <c r="J1443" s="158">
        <v>1349</v>
      </c>
      <c r="K1443" s="158">
        <f t="shared" si="263"/>
        <v>62.693426000000002</v>
      </c>
      <c r="L1443" s="158"/>
      <c r="M1443" s="158">
        <f t="shared" si="265"/>
        <v>62.693426000000002</v>
      </c>
      <c r="N1443" s="158"/>
      <c r="O1443" s="158"/>
      <c r="P1443" s="155"/>
    </row>
    <row r="1444" spans="1:17" s="15" customFormat="1" x14ac:dyDescent="0.2">
      <c r="A1444" t="s">
        <v>1681</v>
      </c>
      <c r="B1444" t="s">
        <v>1401</v>
      </c>
      <c r="C1444" s="124" t="s">
        <v>28</v>
      </c>
      <c r="D1444" s="138" t="s">
        <v>898</v>
      </c>
      <c r="E1444" s="139" t="s">
        <v>98</v>
      </c>
      <c r="F1444" s="161" t="s">
        <v>99</v>
      </c>
      <c r="G1444" s="139" t="s">
        <v>28</v>
      </c>
      <c r="H1444" s="162">
        <v>124.95</v>
      </c>
      <c r="I1444" s="162">
        <v>3.0562999999999998</v>
      </c>
      <c r="J1444" s="158">
        <v>6858</v>
      </c>
      <c r="K1444" s="158">
        <f t="shared" si="263"/>
        <v>20960.1054</v>
      </c>
      <c r="L1444" s="158"/>
      <c r="M1444" s="158">
        <f t="shared" si="265"/>
        <v>20960.1054</v>
      </c>
      <c r="N1444" s="158"/>
      <c r="O1444" s="158"/>
      <c r="P1444" s="155"/>
    </row>
    <row r="1445" spans="1:17" s="15" customFormat="1" x14ac:dyDescent="0.2">
      <c r="A1445" t="s">
        <v>1681</v>
      </c>
      <c r="B1445" t="s">
        <v>1401</v>
      </c>
      <c r="C1445" s="124" t="s">
        <v>28</v>
      </c>
      <c r="D1445" s="138" t="s">
        <v>899</v>
      </c>
      <c r="E1445" s="139" t="s">
        <v>30</v>
      </c>
      <c r="F1445" s="161" t="s">
        <v>31</v>
      </c>
      <c r="G1445" s="139" t="s">
        <v>28</v>
      </c>
      <c r="H1445" s="162">
        <v>4.2699999999999996</v>
      </c>
      <c r="I1445" s="162">
        <v>0.104444</v>
      </c>
      <c r="J1445" s="158">
        <v>106655</v>
      </c>
      <c r="K1445" s="158">
        <f t="shared" si="263"/>
        <v>11139.474819999999</v>
      </c>
      <c r="L1445" s="158"/>
      <c r="M1445" s="158">
        <f t="shared" si="265"/>
        <v>11139.474819999999</v>
      </c>
      <c r="N1445" s="158"/>
      <c r="O1445" s="158"/>
      <c r="P1445" s="155"/>
    </row>
    <row r="1446" spans="1:17" s="16" customFormat="1" x14ac:dyDescent="0.2">
      <c r="A1446" t="s">
        <v>1681</v>
      </c>
      <c r="B1446" t="s">
        <v>1401</v>
      </c>
      <c r="C1446" s="16" t="s">
        <v>1723</v>
      </c>
      <c r="D1446" s="142" t="s">
        <v>900</v>
      </c>
      <c r="E1446" s="143" t="s">
        <v>1990</v>
      </c>
      <c r="F1446" s="164" t="s">
        <v>1991</v>
      </c>
      <c r="G1446" s="143" t="s">
        <v>420</v>
      </c>
      <c r="H1446" s="165">
        <v>101.5</v>
      </c>
      <c r="I1446" s="165">
        <v>2.4826999999999999</v>
      </c>
      <c r="J1446" s="158">
        <v>473214</v>
      </c>
      <c r="K1446" s="158">
        <f t="shared" si="263"/>
        <v>1174848.3977999999</v>
      </c>
      <c r="L1446" s="158"/>
      <c r="M1446" s="158"/>
      <c r="N1446" s="158">
        <f t="shared" ref="N1446:N1454" si="266">+J1446*I1446</f>
        <v>1174848.3977999999</v>
      </c>
      <c r="O1446" s="158"/>
      <c r="P1446" s="156"/>
    </row>
    <row r="1447" spans="1:17" s="16" customFormat="1" x14ac:dyDescent="0.2">
      <c r="A1447" t="s">
        <v>1681</v>
      </c>
      <c r="B1447" t="s">
        <v>1401</v>
      </c>
      <c r="C1447" s="16" t="s">
        <v>1723</v>
      </c>
      <c r="D1447" s="142" t="s">
        <v>901</v>
      </c>
      <c r="E1447" s="143" t="s">
        <v>124</v>
      </c>
      <c r="F1447" s="164" t="s">
        <v>125</v>
      </c>
      <c r="G1447" s="143" t="s">
        <v>107</v>
      </c>
      <c r="H1447" s="165">
        <v>4.4999999999999998E-2</v>
      </c>
      <c r="I1447" s="165">
        <v>1.101E-3</v>
      </c>
      <c r="J1447" s="158">
        <v>9500000</v>
      </c>
      <c r="K1447" s="158">
        <f t="shared" si="263"/>
        <v>10459.5</v>
      </c>
      <c r="L1447" s="158"/>
      <c r="M1447" s="158"/>
      <c r="N1447" s="158">
        <f t="shared" si="266"/>
        <v>10459.5</v>
      </c>
      <c r="O1447" s="158"/>
      <c r="P1447" s="156"/>
    </row>
    <row r="1448" spans="1:17" s="16" customFormat="1" x14ac:dyDescent="0.2">
      <c r="A1448" t="s">
        <v>1681</v>
      </c>
      <c r="B1448" t="s">
        <v>1401</v>
      </c>
      <c r="C1448" s="16" t="s">
        <v>1723</v>
      </c>
      <c r="D1448" s="142" t="s">
        <v>1992</v>
      </c>
      <c r="E1448" s="143" t="s">
        <v>195</v>
      </c>
      <c r="F1448" s="164" t="s">
        <v>196</v>
      </c>
      <c r="G1448" s="143" t="s">
        <v>107</v>
      </c>
      <c r="H1448" s="165">
        <v>8.4000000000000005E-2</v>
      </c>
      <c r="I1448" s="165">
        <v>2.055E-3</v>
      </c>
      <c r="J1448" s="158">
        <v>300000</v>
      </c>
      <c r="K1448" s="158">
        <f t="shared" si="263"/>
        <v>616.5</v>
      </c>
      <c r="L1448" s="158"/>
      <c r="M1448" s="158"/>
      <c r="N1448" s="158">
        <f t="shared" si="266"/>
        <v>616.5</v>
      </c>
      <c r="O1448" s="158"/>
      <c r="P1448" s="156"/>
    </row>
    <row r="1449" spans="1:17" s="16" customFormat="1" x14ac:dyDescent="0.2">
      <c r="A1449" t="s">
        <v>1681</v>
      </c>
      <c r="B1449" t="s">
        <v>1401</v>
      </c>
      <c r="C1449" s="16" t="s">
        <v>1723</v>
      </c>
      <c r="D1449" s="142" t="s">
        <v>1993</v>
      </c>
      <c r="E1449" s="143" t="s">
        <v>693</v>
      </c>
      <c r="F1449" s="164" t="s">
        <v>694</v>
      </c>
      <c r="G1449" s="143" t="s">
        <v>107</v>
      </c>
      <c r="H1449" s="165">
        <v>0.15</v>
      </c>
      <c r="I1449" s="165">
        <v>3.669E-3</v>
      </c>
      <c r="J1449" s="158">
        <v>11250000</v>
      </c>
      <c r="K1449" s="158">
        <f t="shared" si="263"/>
        <v>41276.25</v>
      </c>
      <c r="L1449" s="158"/>
      <c r="M1449" s="158"/>
      <c r="N1449" s="158">
        <f t="shared" si="266"/>
        <v>41276.25</v>
      </c>
      <c r="O1449" s="158"/>
      <c r="P1449" s="156"/>
    </row>
    <row r="1450" spans="1:17" s="16" customFormat="1" ht="24" x14ac:dyDescent="0.2">
      <c r="A1450" t="s">
        <v>1681</v>
      </c>
      <c r="B1450" t="s">
        <v>1401</v>
      </c>
      <c r="C1450" s="16" t="s">
        <v>1723</v>
      </c>
      <c r="D1450" s="142" t="s">
        <v>1994</v>
      </c>
      <c r="E1450" s="143" t="s">
        <v>1995</v>
      </c>
      <c r="F1450" s="164" t="s">
        <v>1996</v>
      </c>
      <c r="G1450" s="143" t="s">
        <v>420</v>
      </c>
      <c r="H1450" s="165">
        <v>1.7</v>
      </c>
      <c r="I1450" s="165">
        <v>4.1582000000000001E-2</v>
      </c>
      <c r="J1450" s="158">
        <v>4107143</v>
      </c>
      <c r="K1450" s="158">
        <f t="shared" si="263"/>
        <v>170783.220226</v>
      </c>
      <c r="L1450" s="158"/>
      <c r="M1450" s="158"/>
      <c r="N1450" s="158">
        <f t="shared" si="266"/>
        <v>170783.220226</v>
      </c>
      <c r="O1450" s="158"/>
      <c r="P1450" s="156"/>
    </row>
    <row r="1451" spans="1:17" s="16" customFormat="1" ht="24" x14ac:dyDescent="0.2">
      <c r="A1451" t="s">
        <v>1681</v>
      </c>
      <c r="B1451" t="s">
        <v>1401</v>
      </c>
      <c r="C1451" s="16" t="s">
        <v>1723</v>
      </c>
      <c r="D1451" s="142" t="s">
        <v>1997</v>
      </c>
      <c r="E1451" s="143" t="s">
        <v>1998</v>
      </c>
      <c r="F1451" s="164" t="s">
        <v>1999</v>
      </c>
      <c r="G1451" s="143" t="s">
        <v>420</v>
      </c>
      <c r="H1451" s="165">
        <v>0.25</v>
      </c>
      <c r="I1451" s="165">
        <v>6.1149999999999998E-3</v>
      </c>
      <c r="J1451" s="158">
        <v>4107143</v>
      </c>
      <c r="K1451" s="158">
        <f t="shared" si="263"/>
        <v>25115.179444999998</v>
      </c>
      <c r="L1451" s="158"/>
      <c r="M1451" s="158"/>
      <c r="N1451" s="158">
        <f t="shared" si="266"/>
        <v>25115.179444999998</v>
      </c>
      <c r="O1451" s="158"/>
      <c r="P1451" s="156"/>
    </row>
    <row r="1452" spans="1:17" s="16" customFormat="1" x14ac:dyDescent="0.2">
      <c r="A1452" t="s">
        <v>1681</v>
      </c>
      <c r="B1452" t="s">
        <v>1401</v>
      </c>
      <c r="C1452" s="16" t="s">
        <v>1723</v>
      </c>
      <c r="D1452" s="142" t="s">
        <v>2000</v>
      </c>
      <c r="E1452" s="143" t="s">
        <v>1808</v>
      </c>
      <c r="F1452" s="164" t="s">
        <v>1809</v>
      </c>
      <c r="G1452" s="143" t="s">
        <v>38</v>
      </c>
      <c r="H1452" s="165">
        <v>135</v>
      </c>
      <c r="I1452" s="165">
        <v>3.3020999999999998</v>
      </c>
      <c r="J1452" s="158">
        <v>102678</v>
      </c>
      <c r="K1452" s="158">
        <f t="shared" si="263"/>
        <v>339053.02379999997</v>
      </c>
      <c r="L1452" s="158"/>
      <c r="M1452" s="158"/>
      <c r="N1452" s="158">
        <f t="shared" si="266"/>
        <v>339053.02379999997</v>
      </c>
      <c r="O1452" s="158"/>
      <c r="P1452" s="156"/>
    </row>
    <row r="1453" spans="1:17" s="1" customFormat="1" x14ac:dyDescent="0.2">
      <c r="A1453" t="s">
        <v>1681</v>
      </c>
      <c r="B1453" t="s">
        <v>1401</v>
      </c>
      <c r="C1453" s="16" t="s">
        <v>1723</v>
      </c>
      <c r="D1453" s="130" t="s">
        <v>902</v>
      </c>
      <c r="E1453" s="131" t="s">
        <v>1781</v>
      </c>
      <c r="F1453" s="131" t="s">
        <v>2001</v>
      </c>
      <c r="G1453" s="132" t="s">
        <v>107</v>
      </c>
      <c r="H1453" s="159">
        <v>8.4000000000000005E-2</v>
      </c>
      <c r="I1453" s="159">
        <f t="shared" ref="I1453:I1454" si="267">+H1453</f>
        <v>8.4000000000000005E-2</v>
      </c>
      <c r="J1453" s="166">
        <v>7812501</v>
      </c>
      <c r="K1453" s="166">
        <f t="shared" si="263"/>
        <v>656250.08400000003</v>
      </c>
      <c r="L1453" s="158"/>
      <c r="M1453" s="158"/>
      <c r="N1453" s="166">
        <f t="shared" si="266"/>
        <v>656250.08400000003</v>
      </c>
      <c r="O1453" s="158"/>
      <c r="P1453" s="153"/>
    </row>
    <row r="1454" spans="1:17" s="1" customFormat="1" x14ac:dyDescent="0.2">
      <c r="A1454" t="s">
        <v>1681</v>
      </c>
      <c r="B1454" t="s">
        <v>1401</v>
      </c>
      <c r="C1454" s="16" t="s">
        <v>1723</v>
      </c>
      <c r="D1454" s="130" t="s">
        <v>913</v>
      </c>
      <c r="E1454" s="131" t="s">
        <v>1781</v>
      </c>
      <c r="F1454" s="131" t="s">
        <v>1783</v>
      </c>
      <c r="G1454" s="132" t="s">
        <v>107</v>
      </c>
      <c r="H1454" s="159">
        <v>0.19</v>
      </c>
      <c r="I1454" s="159">
        <f t="shared" si="267"/>
        <v>0.19</v>
      </c>
      <c r="J1454" s="166">
        <v>8322279</v>
      </c>
      <c r="K1454" s="166">
        <f t="shared" si="263"/>
        <v>1581233.01</v>
      </c>
      <c r="L1454" s="158"/>
      <c r="M1454" s="158"/>
      <c r="N1454" s="166">
        <f t="shared" si="266"/>
        <v>1581233.01</v>
      </c>
      <c r="O1454" s="158"/>
      <c r="P1454" s="153"/>
    </row>
    <row r="1455" spans="1:17" ht="15.75" x14ac:dyDescent="0.25">
      <c r="A1455" t="s">
        <v>1681</v>
      </c>
      <c r="B1455" t="s">
        <v>1401</v>
      </c>
      <c r="D1455" s="151" t="s">
        <v>2002</v>
      </c>
      <c r="E1455" s="128"/>
      <c r="F1455" s="163"/>
      <c r="G1455" s="128"/>
      <c r="H1455" s="128"/>
      <c r="I1455" s="128"/>
      <c r="J1455" s="158"/>
      <c r="K1455" s="158"/>
      <c r="L1455" s="158"/>
      <c r="M1455" s="158"/>
      <c r="N1455" s="158"/>
      <c r="O1455" s="158"/>
      <c r="P1455" s="152"/>
    </row>
    <row r="1456" spans="1:17" s="1" customFormat="1" x14ac:dyDescent="0.2">
      <c r="A1456" t="s">
        <v>1681</v>
      </c>
      <c r="B1456" t="s">
        <v>1401</v>
      </c>
      <c r="C1456" s="1" t="s">
        <v>1683</v>
      </c>
      <c r="D1456" s="130" t="s">
        <v>925</v>
      </c>
      <c r="E1456" s="131" t="s">
        <v>2003</v>
      </c>
      <c r="F1456" s="131" t="s">
        <v>2004</v>
      </c>
      <c r="G1456" s="132" t="s">
        <v>1692</v>
      </c>
      <c r="H1456" s="159">
        <v>3.4200000000000001E-2</v>
      </c>
      <c r="I1456" s="159"/>
      <c r="J1456" s="158"/>
      <c r="K1456" s="158"/>
      <c r="L1456" s="158"/>
      <c r="M1456" s="158"/>
      <c r="N1456" s="158"/>
      <c r="O1456" s="158"/>
      <c r="P1456" s="153"/>
      <c r="Q1456" s="35"/>
    </row>
    <row r="1457" spans="1:16" s="14" customFormat="1" x14ac:dyDescent="0.2">
      <c r="A1457" t="s">
        <v>1681</v>
      </c>
      <c r="B1457" t="s">
        <v>1401</v>
      </c>
      <c r="C1457" s="14" t="s">
        <v>24</v>
      </c>
      <c r="D1457" s="134" t="s">
        <v>928</v>
      </c>
      <c r="E1457" s="135" t="s">
        <v>18</v>
      </c>
      <c r="F1457" s="160" t="s">
        <v>23</v>
      </c>
      <c r="G1457" s="135" t="s">
        <v>24</v>
      </c>
      <c r="H1457" s="158">
        <v>1016.26</v>
      </c>
      <c r="I1457" s="158">
        <v>34.756100000000004</v>
      </c>
      <c r="J1457" s="158">
        <v>22914.53</v>
      </c>
      <c r="K1457" s="158">
        <f t="shared" ref="K1457:K1473" si="268">+J1457*I1457</f>
        <v>796419.69613300008</v>
      </c>
      <c r="L1457" s="158">
        <f t="shared" ref="L1457:L1458" si="269">+J1457*I1457</f>
        <v>796419.69613300008</v>
      </c>
      <c r="M1457" s="158"/>
      <c r="N1457" s="158"/>
      <c r="O1457" s="158"/>
      <c r="P1457" s="154"/>
    </row>
    <row r="1458" spans="1:16" s="16" customFormat="1" x14ac:dyDescent="0.2">
      <c r="A1458" t="s">
        <v>1681</v>
      </c>
      <c r="B1458" t="s">
        <v>1401</v>
      </c>
      <c r="C1458" s="14" t="s">
        <v>24</v>
      </c>
      <c r="D1458" s="134" t="s">
        <v>929</v>
      </c>
      <c r="E1458" s="135" t="s">
        <v>52</v>
      </c>
      <c r="F1458" s="160" t="s">
        <v>1687</v>
      </c>
      <c r="G1458" s="135" t="s">
        <v>24</v>
      </c>
      <c r="H1458" s="158">
        <v>72.31</v>
      </c>
      <c r="I1458" s="158">
        <v>2.4729999999999999</v>
      </c>
      <c r="J1458" s="158"/>
      <c r="K1458" s="158">
        <f t="shared" si="268"/>
        <v>0</v>
      </c>
      <c r="L1458" s="158">
        <f t="shared" si="269"/>
        <v>0</v>
      </c>
      <c r="M1458" s="158"/>
      <c r="N1458" s="158"/>
      <c r="O1458" s="158"/>
      <c r="P1458" s="156"/>
    </row>
    <row r="1459" spans="1:16" s="15" customFormat="1" x14ac:dyDescent="0.2">
      <c r="A1459" t="s">
        <v>1681</v>
      </c>
      <c r="B1459" t="s">
        <v>1401</v>
      </c>
      <c r="C1459" s="124" t="s">
        <v>28</v>
      </c>
      <c r="D1459" s="138" t="s">
        <v>930</v>
      </c>
      <c r="E1459" s="139" t="s">
        <v>262</v>
      </c>
      <c r="F1459" s="161" t="s">
        <v>263</v>
      </c>
      <c r="G1459" s="139" t="s">
        <v>28</v>
      </c>
      <c r="H1459" s="162">
        <v>0.27</v>
      </c>
      <c r="I1459" s="162">
        <v>9.2339999999999992E-3</v>
      </c>
      <c r="J1459" s="158">
        <v>140201</v>
      </c>
      <c r="K1459" s="158">
        <f t="shared" si="268"/>
        <v>1294.6160339999999</v>
      </c>
      <c r="L1459" s="158"/>
      <c r="M1459" s="158">
        <f t="shared" ref="M1459:M1464" si="270">+J1459*I1459</f>
        <v>1294.6160339999999</v>
      </c>
      <c r="N1459" s="158"/>
      <c r="O1459" s="158"/>
      <c r="P1459" s="155"/>
    </row>
    <row r="1460" spans="1:16" s="15" customFormat="1" x14ac:dyDescent="0.2">
      <c r="A1460" t="s">
        <v>1681</v>
      </c>
      <c r="B1460" t="s">
        <v>1401</v>
      </c>
      <c r="C1460" s="124" t="s">
        <v>28</v>
      </c>
      <c r="D1460" s="138" t="s">
        <v>931</v>
      </c>
      <c r="E1460" s="139" t="s">
        <v>1728</v>
      </c>
      <c r="F1460" s="161" t="s">
        <v>1729</v>
      </c>
      <c r="G1460" s="139" t="s">
        <v>28</v>
      </c>
      <c r="H1460" s="162">
        <v>49.09</v>
      </c>
      <c r="I1460" s="162">
        <v>1.6789000000000001</v>
      </c>
      <c r="J1460" s="158">
        <v>1592</v>
      </c>
      <c r="K1460" s="158">
        <f t="shared" si="268"/>
        <v>2672.8088000000002</v>
      </c>
      <c r="L1460" s="158"/>
      <c r="M1460" s="158">
        <f t="shared" si="270"/>
        <v>2672.8088000000002</v>
      </c>
      <c r="N1460" s="158"/>
      <c r="O1460" s="158"/>
      <c r="P1460" s="155"/>
    </row>
    <row r="1461" spans="1:16" s="15" customFormat="1" x14ac:dyDescent="0.2">
      <c r="A1461" t="s">
        <v>1681</v>
      </c>
      <c r="B1461" t="s">
        <v>1401</v>
      </c>
      <c r="C1461" s="124" t="s">
        <v>28</v>
      </c>
      <c r="D1461" s="138" t="s">
        <v>934</v>
      </c>
      <c r="E1461" s="139" t="s">
        <v>1079</v>
      </c>
      <c r="F1461" s="161" t="s">
        <v>1080</v>
      </c>
      <c r="G1461" s="139" t="s">
        <v>28</v>
      </c>
      <c r="H1461" s="162">
        <v>69.97</v>
      </c>
      <c r="I1461" s="162">
        <v>2.3929999999999998</v>
      </c>
      <c r="J1461" s="158">
        <v>132706</v>
      </c>
      <c r="K1461" s="158">
        <f t="shared" si="268"/>
        <v>317565.45799999998</v>
      </c>
      <c r="L1461" s="158"/>
      <c r="M1461" s="158">
        <f t="shared" si="270"/>
        <v>317565.45799999998</v>
      </c>
      <c r="N1461" s="158"/>
      <c r="O1461" s="158"/>
      <c r="P1461" s="155"/>
    </row>
    <row r="1462" spans="1:16" s="15" customFormat="1" ht="24" x14ac:dyDescent="0.2">
      <c r="A1462" t="s">
        <v>1681</v>
      </c>
      <c r="B1462" t="s">
        <v>1401</v>
      </c>
      <c r="C1462" s="124" t="s">
        <v>28</v>
      </c>
      <c r="D1462" s="138" t="s">
        <v>937</v>
      </c>
      <c r="E1462" s="139" t="s">
        <v>876</v>
      </c>
      <c r="F1462" s="161" t="s">
        <v>877</v>
      </c>
      <c r="G1462" s="139" t="s">
        <v>28</v>
      </c>
      <c r="H1462" s="162">
        <v>0.84</v>
      </c>
      <c r="I1462" s="162">
        <v>2.8728E-2</v>
      </c>
      <c r="J1462" s="158">
        <v>239461</v>
      </c>
      <c r="K1462" s="158">
        <f t="shared" si="268"/>
        <v>6879.235608</v>
      </c>
      <c r="L1462" s="158"/>
      <c r="M1462" s="158">
        <f t="shared" si="270"/>
        <v>6879.235608</v>
      </c>
      <c r="N1462" s="158"/>
      <c r="O1462" s="158"/>
      <c r="P1462" s="155"/>
    </row>
    <row r="1463" spans="1:16" s="15" customFormat="1" x14ac:dyDescent="0.2">
      <c r="A1463" t="s">
        <v>1681</v>
      </c>
      <c r="B1463" t="s">
        <v>1401</v>
      </c>
      <c r="C1463" s="124" t="s">
        <v>28</v>
      </c>
      <c r="D1463" s="138" t="s">
        <v>940</v>
      </c>
      <c r="E1463" s="139" t="s">
        <v>98</v>
      </c>
      <c r="F1463" s="161" t="s">
        <v>99</v>
      </c>
      <c r="G1463" s="139" t="s">
        <v>28</v>
      </c>
      <c r="H1463" s="162">
        <v>208.25</v>
      </c>
      <c r="I1463" s="162">
        <v>7.1222000000000003</v>
      </c>
      <c r="J1463" s="158">
        <v>6858</v>
      </c>
      <c r="K1463" s="158">
        <f t="shared" si="268"/>
        <v>48844.047600000005</v>
      </c>
      <c r="L1463" s="158"/>
      <c r="M1463" s="158">
        <f t="shared" si="270"/>
        <v>48844.047600000005</v>
      </c>
      <c r="N1463" s="158"/>
      <c r="O1463" s="158"/>
      <c r="P1463" s="155"/>
    </row>
    <row r="1464" spans="1:16" s="15" customFormat="1" x14ac:dyDescent="0.2">
      <c r="A1464" t="s">
        <v>1681</v>
      </c>
      <c r="B1464" t="s">
        <v>1401</v>
      </c>
      <c r="C1464" s="124" t="s">
        <v>28</v>
      </c>
      <c r="D1464" s="138" t="s">
        <v>2005</v>
      </c>
      <c r="E1464" s="139" t="s">
        <v>30</v>
      </c>
      <c r="F1464" s="161" t="s">
        <v>31</v>
      </c>
      <c r="G1464" s="139" t="s">
        <v>28</v>
      </c>
      <c r="H1464" s="162">
        <v>1.23</v>
      </c>
      <c r="I1464" s="162">
        <v>4.2065999999999999E-2</v>
      </c>
      <c r="J1464" s="158">
        <v>106655</v>
      </c>
      <c r="K1464" s="158">
        <f t="shared" si="268"/>
        <v>4486.5492299999996</v>
      </c>
      <c r="L1464" s="158"/>
      <c r="M1464" s="158">
        <f t="shared" si="270"/>
        <v>4486.5492299999996</v>
      </c>
      <c r="N1464" s="158"/>
      <c r="O1464" s="158"/>
      <c r="P1464" s="155"/>
    </row>
    <row r="1465" spans="1:16" s="16" customFormat="1" x14ac:dyDescent="0.2">
      <c r="A1465" t="s">
        <v>1681</v>
      </c>
      <c r="B1465" t="s">
        <v>1401</v>
      </c>
      <c r="C1465" s="16" t="s">
        <v>1723</v>
      </c>
      <c r="D1465" s="142" t="s">
        <v>2006</v>
      </c>
      <c r="E1465" s="143" t="s">
        <v>1990</v>
      </c>
      <c r="F1465" s="164" t="s">
        <v>1991</v>
      </c>
      <c r="G1465" s="143" t="s">
        <v>420</v>
      </c>
      <c r="H1465" s="165">
        <v>101.5</v>
      </c>
      <c r="I1465" s="165">
        <v>3.4712999999999998</v>
      </c>
      <c r="J1465" s="158">
        <v>473214</v>
      </c>
      <c r="K1465" s="158">
        <f t="shared" si="268"/>
        <v>1642667.7581999998</v>
      </c>
      <c r="L1465" s="158"/>
      <c r="M1465" s="158"/>
      <c r="N1465" s="158">
        <f t="shared" ref="N1465:N1473" si="271">+J1465*I1465</f>
        <v>1642667.7581999998</v>
      </c>
      <c r="O1465" s="158"/>
      <c r="P1465" s="156"/>
    </row>
    <row r="1466" spans="1:16" s="16" customFormat="1" x14ac:dyDescent="0.2">
      <c r="A1466" t="s">
        <v>1681</v>
      </c>
      <c r="B1466" t="s">
        <v>1401</v>
      </c>
      <c r="C1466" s="16" t="s">
        <v>1723</v>
      </c>
      <c r="D1466" s="142" t="s">
        <v>2007</v>
      </c>
      <c r="E1466" s="143" t="s">
        <v>124</v>
      </c>
      <c r="F1466" s="164" t="s">
        <v>125</v>
      </c>
      <c r="G1466" s="143" t="s">
        <v>107</v>
      </c>
      <c r="H1466" s="165">
        <v>3.6999999999999998E-2</v>
      </c>
      <c r="I1466" s="165">
        <v>1.2650000000000001E-3</v>
      </c>
      <c r="J1466" s="158">
        <v>9500000</v>
      </c>
      <c r="K1466" s="158">
        <f t="shared" si="268"/>
        <v>12017.5</v>
      </c>
      <c r="L1466" s="158"/>
      <c r="M1466" s="158"/>
      <c r="N1466" s="158">
        <f t="shared" si="271"/>
        <v>12017.5</v>
      </c>
      <c r="O1466" s="158"/>
      <c r="P1466" s="156"/>
    </row>
    <row r="1467" spans="1:16" s="16" customFormat="1" x14ac:dyDescent="0.2">
      <c r="A1467" t="s">
        <v>1681</v>
      </c>
      <c r="B1467" t="s">
        <v>1401</v>
      </c>
      <c r="C1467" s="16" t="s">
        <v>1723</v>
      </c>
      <c r="D1467" s="142" t="s">
        <v>2008</v>
      </c>
      <c r="E1467" s="143" t="s">
        <v>195</v>
      </c>
      <c r="F1467" s="164" t="s">
        <v>196</v>
      </c>
      <c r="G1467" s="143" t="s">
        <v>107</v>
      </c>
      <c r="H1467" s="165">
        <v>0.04</v>
      </c>
      <c r="I1467" s="165">
        <v>1.3680000000000001E-3</v>
      </c>
      <c r="J1467" s="158">
        <v>300000</v>
      </c>
      <c r="K1467" s="158">
        <f t="shared" si="268"/>
        <v>410.40000000000003</v>
      </c>
      <c r="L1467" s="158"/>
      <c r="M1467" s="158"/>
      <c r="N1467" s="158">
        <f t="shared" si="271"/>
        <v>410.40000000000003</v>
      </c>
      <c r="O1467" s="158"/>
      <c r="P1467" s="156"/>
    </row>
    <row r="1468" spans="1:16" s="16" customFormat="1" x14ac:dyDescent="0.2">
      <c r="A1468" t="s">
        <v>1681</v>
      </c>
      <c r="B1468" t="s">
        <v>1401</v>
      </c>
      <c r="C1468" s="16" t="s">
        <v>1723</v>
      </c>
      <c r="D1468" s="142" t="s">
        <v>2009</v>
      </c>
      <c r="E1468" s="143" t="s">
        <v>1185</v>
      </c>
      <c r="F1468" s="164" t="s">
        <v>1186</v>
      </c>
      <c r="G1468" s="143" t="s">
        <v>107</v>
      </c>
      <c r="H1468" s="165">
        <v>0.25</v>
      </c>
      <c r="I1468" s="165">
        <v>8.5500000000000003E-3</v>
      </c>
      <c r="J1468" s="158">
        <v>7812501</v>
      </c>
      <c r="K1468" s="158">
        <f t="shared" si="268"/>
        <v>66796.883549999999</v>
      </c>
      <c r="L1468" s="158"/>
      <c r="M1468" s="158"/>
      <c r="N1468" s="158">
        <f t="shared" si="271"/>
        <v>66796.883549999999</v>
      </c>
      <c r="O1468" s="158"/>
      <c r="P1468" s="156"/>
    </row>
    <row r="1469" spans="1:16" s="16" customFormat="1" x14ac:dyDescent="0.2">
      <c r="A1469" t="s">
        <v>1681</v>
      </c>
      <c r="B1469" t="s">
        <v>1401</v>
      </c>
      <c r="C1469" s="16" t="s">
        <v>1723</v>
      </c>
      <c r="D1469" s="142" t="s">
        <v>2010</v>
      </c>
      <c r="E1469" s="143" t="s">
        <v>693</v>
      </c>
      <c r="F1469" s="164" t="s">
        <v>694</v>
      </c>
      <c r="G1469" s="143" t="s">
        <v>107</v>
      </c>
      <c r="H1469" s="165">
        <v>0.25</v>
      </c>
      <c r="I1469" s="165">
        <v>8.5500000000000003E-3</v>
      </c>
      <c r="J1469" s="158">
        <v>11250000</v>
      </c>
      <c r="K1469" s="158">
        <f t="shared" si="268"/>
        <v>96187.5</v>
      </c>
      <c r="L1469" s="158"/>
      <c r="M1469" s="158"/>
      <c r="N1469" s="158">
        <f t="shared" si="271"/>
        <v>96187.5</v>
      </c>
      <c r="O1469" s="158"/>
      <c r="P1469" s="156"/>
    </row>
    <row r="1470" spans="1:16" s="16" customFormat="1" ht="24" x14ac:dyDescent="0.2">
      <c r="A1470" t="s">
        <v>1681</v>
      </c>
      <c r="B1470" t="s">
        <v>1401</v>
      </c>
      <c r="C1470" s="16" t="s">
        <v>1723</v>
      </c>
      <c r="D1470" s="142" t="s">
        <v>2011</v>
      </c>
      <c r="E1470" s="143" t="s">
        <v>1776</v>
      </c>
      <c r="F1470" s="164" t="s">
        <v>1777</v>
      </c>
      <c r="G1470" s="143" t="s">
        <v>420</v>
      </c>
      <c r="H1470" s="165">
        <v>0.81</v>
      </c>
      <c r="I1470" s="165">
        <v>2.7702000000000001E-2</v>
      </c>
      <c r="J1470" s="158">
        <v>4107143</v>
      </c>
      <c r="K1470" s="158">
        <f t="shared" si="268"/>
        <v>113776.075386</v>
      </c>
      <c r="L1470" s="158"/>
      <c r="M1470" s="158"/>
      <c r="N1470" s="158">
        <f t="shared" si="271"/>
        <v>113776.075386</v>
      </c>
      <c r="O1470" s="158"/>
      <c r="P1470" s="156"/>
    </row>
    <row r="1471" spans="1:16" s="16" customFormat="1" x14ac:dyDescent="0.2">
      <c r="A1471" t="s">
        <v>1681</v>
      </c>
      <c r="B1471" t="s">
        <v>1401</v>
      </c>
      <c r="C1471" s="16" t="s">
        <v>1723</v>
      </c>
      <c r="D1471" s="142" t="s">
        <v>2012</v>
      </c>
      <c r="E1471" s="143" t="s">
        <v>1808</v>
      </c>
      <c r="F1471" s="164" t="s">
        <v>1809</v>
      </c>
      <c r="G1471" s="143" t="s">
        <v>38</v>
      </c>
      <c r="H1471" s="165">
        <v>77.900000000000006</v>
      </c>
      <c r="I1471" s="165">
        <v>2.6642000000000001</v>
      </c>
      <c r="J1471" s="158">
        <v>102678</v>
      </c>
      <c r="K1471" s="158">
        <f t="shared" si="268"/>
        <v>273554.72759999998</v>
      </c>
      <c r="L1471" s="158"/>
      <c r="M1471" s="158"/>
      <c r="N1471" s="158">
        <f t="shared" si="271"/>
        <v>273554.72759999998</v>
      </c>
      <c r="O1471" s="158"/>
      <c r="P1471" s="156"/>
    </row>
    <row r="1472" spans="1:16" s="1" customFormat="1" x14ac:dyDescent="0.2">
      <c r="A1472" t="s">
        <v>1681</v>
      </c>
      <c r="B1472" t="s">
        <v>1401</v>
      </c>
      <c r="C1472" s="16" t="s">
        <v>1723</v>
      </c>
      <c r="D1472" s="130" t="s">
        <v>943</v>
      </c>
      <c r="E1472" s="131" t="s">
        <v>1781</v>
      </c>
      <c r="F1472" s="131" t="s">
        <v>2001</v>
      </c>
      <c r="G1472" s="132" t="s">
        <v>107</v>
      </c>
      <c r="H1472" s="159">
        <v>5.0999999999999997E-2</v>
      </c>
      <c r="I1472" s="159">
        <f t="shared" ref="I1472:I1473" si="272">+H1472</f>
        <v>5.0999999999999997E-2</v>
      </c>
      <c r="J1472" s="166">
        <v>7812501</v>
      </c>
      <c r="K1472" s="166">
        <f t="shared" si="268"/>
        <v>398437.55099999998</v>
      </c>
      <c r="L1472" s="158"/>
      <c r="M1472" s="158"/>
      <c r="N1472" s="166">
        <f t="shared" si="271"/>
        <v>398437.55099999998</v>
      </c>
      <c r="O1472" s="158"/>
      <c r="P1472" s="153"/>
    </row>
    <row r="1473" spans="1:17" s="1" customFormat="1" x14ac:dyDescent="0.2">
      <c r="A1473" t="s">
        <v>1681</v>
      </c>
      <c r="B1473" t="s">
        <v>1401</v>
      </c>
      <c r="C1473" s="16" t="s">
        <v>1723</v>
      </c>
      <c r="D1473" s="130" t="s">
        <v>952</v>
      </c>
      <c r="E1473" s="131" t="s">
        <v>1781</v>
      </c>
      <c r="F1473" s="131" t="s">
        <v>1782</v>
      </c>
      <c r="G1473" s="132" t="s">
        <v>107</v>
      </c>
      <c r="H1473" s="159">
        <v>7.0000000000000007E-2</v>
      </c>
      <c r="I1473" s="159">
        <f t="shared" si="272"/>
        <v>7.0000000000000007E-2</v>
      </c>
      <c r="J1473" s="166">
        <v>8482143</v>
      </c>
      <c r="K1473" s="166">
        <f t="shared" si="268"/>
        <v>593750.01</v>
      </c>
      <c r="L1473" s="158"/>
      <c r="M1473" s="158"/>
      <c r="N1473" s="166">
        <f t="shared" si="271"/>
        <v>593750.01</v>
      </c>
      <c r="O1473" s="158"/>
      <c r="P1473" s="153"/>
    </row>
    <row r="1474" spans="1:17" ht="15.75" x14ac:dyDescent="0.25">
      <c r="A1474" t="s">
        <v>1681</v>
      </c>
      <c r="B1474" t="s">
        <v>1401</v>
      </c>
      <c r="D1474" s="151" t="s">
        <v>2013</v>
      </c>
      <c r="E1474" s="128"/>
      <c r="F1474" s="163"/>
      <c r="G1474" s="128"/>
      <c r="H1474" s="128"/>
      <c r="I1474" s="128"/>
      <c r="J1474" s="158"/>
      <c r="K1474" s="158"/>
      <c r="L1474" s="158"/>
      <c r="M1474" s="158"/>
      <c r="N1474" s="158"/>
      <c r="O1474" s="158"/>
      <c r="P1474" s="152"/>
    </row>
    <row r="1475" spans="1:17" s="1" customFormat="1" x14ac:dyDescent="0.2">
      <c r="A1475" t="s">
        <v>1681</v>
      </c>
      <c r="B1475" t="s">
        <v>1401</v>
      </c>
      <c r="C1475" s="1" t="s">
        <v>1683</v>
      </c>
      <c r="D1475" s="130" t="s">
        <v>955</v>
      </c>
      <c r="E1475" s="131" t="s">
        <v>2014</v>
      </c>
      <c r="F1475" s="131" t="s">
        <v>2015</v>
      </c>
      <c r="G1475" s="132" t="s">
        <v>420</v>
      </c>
      <c r="H1475" s="159">
        <v>2.4</v>
      </c>
      <c r="I1475" s="159"/>
      <c r="J1475" s="158"/>
      <c r="K1475" s="158"/>
      <c r="L1475" s="158"/>
      <c r="M1475" s="158"/>
      <c r="N1475" s="158"/>
      <c r="O1475" s="158"/>
      <c r="P1475" s="153"/>
      <c r="Q1475" s="35"/>
    </row>
    <row r="1476" spans="1:17" s="14" customFormat="1" x14ac:dyDescent="0.2">
      <c r="A1476" t="s">
        <v>1681</v>
      </c>
      <c r="B1476" t="s">
        <v>1401</v>
      </c>
      <c r="C1476" s="14" t="s">
        <v>24</v>
      </c>
      <c r="D1476" s="134" t="s">
        <v>2016</v>
      </c>
      <c r="E1476" s="135" t="s">
        <v>18</v>
      </c>
      <c r="F1476" s="160" t="s">
        <v>23</v>
      </c>
      <c r="G1476" s="135" t="s">
        <v>24</v>
      </c>
      <c r="H1476" s="158">
        <v>24.09</v>
      </c>
      <c r="I1476" s="158">
        <v>57.816000000000003</v>
      </c>
      <c r="J1476" s="158">
        <v>22914.53</v>
      </c>
      <c r="K1476" s="158">
        <f t="shared" ref="K1476:K1487" si="273">+J1476*I1476</f>
        <v>1324826.4664799999</v>
      </c>
      <c r="L1476" s="158">
        <f t="shared" ref="L1476:L1477" si="274">+J1476*I1476</f>
        <v>1324826.4664799999</v>
      </c>
      <c r="M1476" s="158"/>
      <c r="N1476" s="158"/>
      <c r="O1476" s="158"/>
      <c r="P1476" s="154"/>
    </row>
    <row r="1477" spans="1:17" s="16" customFormat="1" x14ac:dyDescent="0.2">
      <c r="A1477" t="s">
        <v>1681</v>
      </c>
      <c r="B1477" t="s">
        <v>1401</v>
      </c>
      <c r="C1477" s="14" t="s">
        <v>24</v>
      </c>
      <c r="D1477" s="134" t="s">
        <v>2017</v>
      </c>
      <c r="E1477" s="135" t="s">
        <v>52</v>
      </c>
      <c r="F1477" s="160" t="s">
        <v>1687</v>
      </c>
      <c r="G1477" s="135" t="s">
        <v>24</v>
      </c>
      <c r="H1477" s="158">
        <v>0.37</v>
      </c>
      <c r="I1477" s="158">
        <v>0.88800000000000001</v>
      </c>
      <c r="J1477" s="158"/>
      <c r="K1477" s="158">
        <f t="shared" si="273"/>
        <v>0</v>
      </c>
      <c r="L1477" s="158">
        <f t="shared" si="274"/>
        <v>0</v>
      </c>
      <c r="M1477" s="158"/>
      <c r="N1477" s="158"/>
      <c r="O1477" s="158"/>
      <c r="P1477" s="156"/>
    </row>
    <row r="1478" spans="1:17" s="15" customFormat="1" ht="24" x14ac:dyDescent="0.2">
      <c r="A1478" t="s">
        <v>1681</v>
      </c>
      <c r="B1478" t="s">
        <v>1401</v>
      </c>
      <c r="C1478" s="124" t="s">
        <v>28</v>
      </c>
      <c r="D1478" s="138" t="s">
        <v>2018</v>
      </c>
      <c r="E1478" s="139" t="s">
        <v>876</v>
      </c>
      <c r="F1478" s="161" t="s">
        <v>877</v>
      </c>
      <c r="G1478" s="139" t="s">
        <v>28</v>
      </c>
      <c r="H1478" s="162">
        <v>0.15</v>
      </c>
      <c r="I1478" s="162">
        <v>0.36</v>
      </c>
      <c r="J1478" s="158">
        <v>239461</v>
      </c>
      <c r="K1478" s="158">
        <f t="shared" si="273"/>
        <v>86205.959999999992</v>
      </c>
      <c r="L1478" s="158"/>
      <c r="M1478" s="158">
        <f t="shared" ref="M1478:M1480" si="275">+J1478*I1478</f>
        <v>86205.959999999992</v>
      </c>
      <c r="N1478" s="158"/>
      <c r="O1478" s="158"/>
      <c r="P1478" s="155"/>
    </row>
    <row r="1479" spans="1:17" s="15" customFormat="1" x14ac:dyDescent="0.2">
      <c r="A1479" t="s">
        <v>1681</v>
      </c>
      <c r="B1479" t="s">
        <v>1401</v>
      </c>
      <c r="C1479" s="124" t="s">
        <v>28</v>
      </c>
      <c r="D1479" s="138" t="s">
        <v>2019</v>
      </c>
      <c r="E1479" s="139" t="s">
        <v>2020</v>
      </c>
      <c r="F1479" s="161" t="s">
        <v>2021</v>
      </c>
      <c r="G1479" s="139" t="s">
        <v>28</v>
      </c>
      <c r="H1479" s="162">
        <v>0.44</v>
      </c>
      <c r="I1479" s="162">
        <v>1.056</v>
      </c>
      <c r="J1479" s="158">
        <v>2211</v>
      </c>
      <c r="K1479" s="158">
        <f t="shared" si="273"/>
        <v>2334.8160000000003</v>
      </c>
      <c r="L1479" s="158"/>
      <c r="M1479" s="158">
        <f t="shared" si="275"/>
        <v>2334.8160000000003</v>
      </c>
      <c r="N1479" s="158"/>
      <c r="O1479" s="158"/>
      <c r="P1479" s="155"/>
    </row>
    <row r="1480" spans="1:17" s="15" customFormat="1" x14ac:dyDescent="0.2">
      <c r="A1480" t="s">
        <v>1681</v>
      </c>
      <c r="B1480" t="s">
        <v>1401</v>
      </c>
      <c r="C1480" s="124" t="s">
        <v>28</v>
      </c>
      <c r="D1480" s="138" t="s">
        <v>2022</v>
      </c>
      <c r="E1480" s="139" t="s">
        <v>30</v>
      </c>
      <c r="F1480" s="161" t="s">
        <v>31</v>
      </c>
      <c r="G1480" s="139" t="s">
        <v>28</v>
      </c>
      <c r="H1480" s="162">
        <v>0.22</v>
      </c>
      <c r="I1480" s="162">
        <v>0.52800000000000002</v>
      </c>
      <c r="J1480" s="158">
        <v>106655</v>
      </c>
      <c r="K1480" s="158">
        <f t="shared" si="273"/>
        <v>56313.840000000004</v>
      </c>
      <c r="L1480" s="158"/>
      <c r="M1480" s="158">
        <f t="shared" si="275"/>
        <v>56313.840000000004</v>
      </c>
      <c r="N1480" s="158"/>
      <c r="O1480" s="158"/>
      <c r="P1480" s="155"/>
    </row>
    <row r="1481" spans="1:17" s="16" customFormat="1" x14ac:dyDescent="0.2">
      <c r="A1481" t="s">
        <v>1681</v>
      </c>
      <c r="B1481" t="s">
        <v>1401</v>
      </c>
      <c r="C1481" s="16" t="s">
        <v>1723</v>
      </c>
      <c r="D1481" s="142" t="s">
        <v>2023</v>
      </c>
      <c r="E1481" s="143" t="s">
        <v>124</v>
      </c>
      <c r="F1481" s="164" t="s">
        <v>125</v>
      </c>
      <c r="G1481" s="143" t="s">
        <v>107</v>
      </c>
      <c r="H1481" s="165">
        <v>7.1999999999999998E-3</v>
      </c>
      <c r="I1481" s="165">
        <v>1.728E-2</v>
      </c>
      <c r="J1481" s="158">
        <v>9500000</v>
      </c>
      <c r="K1481" s="158">
        <f t="shared" si="273"/>
        <v>164160</v>
      </c>
      <c r="L1481" s="158"/>
      <c r="M1481" s="158"/>
      <c r="N1481" s="158">
        <f t="shared" ref="N1481:N1487" si="276">+J1481*I1481</f>
        <v>164160</v>
      </c>
      <c r="O1481" s="158"/>
      <c r="P1481" s="156"/>
    </row>
    <row r="1482" spans="1:17" s="16" customFormat="1" ht="24" x14ac:dyDescent="0.2">
      <c r="A1482" t="s">
        <v>1681</v>
      </c>
      <c r="B1482" t="s">
        <v>1401</v>
      </c>
      <c r="C1482" s="16" t="s">
        <v>1723</v>
      </c>
      <c r="D1482" s="142" t="s">
        <v>2024</v>
      </c>
      <c r="E1482" s="143" t="s">
        <v>2025</v>
      </c>
      <c r="F1482" s="164" t="s">
        <v>2026</v>
      </c>
      <c r="G1482" s="143" t="s">
        <v>38</v>
      </c>
      <c r="H1482" s="165">
        <v>3.38</v>
      </c>
      <c r="I1482" s="165">
        <v>8.1120000000000001</v>
      </c>
      <c r="J1482" s="158">
        <v>3500</v>
      </c>
      <c r="K1482" s="158">
        <f t="shared" si="273"/>
        <v>28392</v>
      </c>
      <c r="L1482" s="158"/>
      <c r="M1482" s="158"/>
      <c r="N1482" s="158">
        <f t="shared" si="276"/>
        <v>28392</v>
      </c>
      <c r="O1482" s="158"/>
      <c r="P1482" s="156"/>
    </row>
    <row r="1483" spans="1:17" s="16" customFormat="1" x14ac:dyDescent="0.2">
      <c r="A1483" t="s">
        <v>1681</v>
      </c>
      <c r="B1483" t="s">
        <v>1401</v>
      </c>
      <c r="C1483" s="16" t="s">
        <v>1723</v>
      </c>
      <c r="D1483" s="142" t="s">
        <v>2027</v>
      </c>
      <c r="E1483" s="143" t="s">
        <v>1185</v>
      </c>
      <c r="F1483" s="164" t="s">
        <v>1186</v>
      </c>
      <c r="G1483" s="143" t="s">
        <v>107</v>
      </c>
      <c r="H1483" s="165">
        <v>4.3800000000000002E-3</v>
      </c>
      <c r="I1483" s="165">
        <v>1.0512000000000001E-2</v>
      </c>
      <c r="J1483" s="158">
        <v>7812501</v>
      </c>
      <c r="K1483" s="158">
        <f t="shared" si="273"/>
        <v>82125.010512000008</v>
      </c>
      <c r="L1483" s="158"/>
      <c r="M1483" s="158"/>
      <c r="N1483" s="158">
        <f t="shared" si="276"/>
        <v>82125.010512000008</v>
      </c>
      <c r="O1483" s="158"/>
      <c r="P1483" s="156"/>
    </row>
    <row r="1484" spans="1:17" s="16" customFormat="1" ht="24" x14ac:dyDescent="0.2">
      <c r="A1484" t="s">
        <v>1681</v>
      </c>
      <c r="B1484" t="s">
        <v>1401</v>
      </c>
      <c r="C1484" s="16" t="s">
        <v>1723</v>
      </c>
      <c r="D1484" s="142" t="s">
        <v>2028</v>
      </c>
      <c r="E1484" s="143" t="s">
        <v>2029</v>
      </c>
      <c r="F1484" s="164" t="s">
        <v>2030</v>
      </c>
      <c r="G1484" s="143" t="s">
        <v>420</v>
      </c>
      <c r="H1484" s="165">
        <v>0.16</v>
      </c>
      <c r="I1484" s="165">
        <v>0.38400000000000001</v>
      </c>
      <c r="J1484" s="158">
        <v>4107143</v>
      </c>
      <c r="K1484" s="158">
        <f t="shared" si="273"/>
        <v>1577142.912</v>
      </c>
      <c r="L1484" s="158"/>
      <c r="M1484" s="158"/>
      <c r="N1484" s="158">
        <f t="shared" si="276"/>
        <v>1577142.912</v>
      </c>
      <c r="O1484" s="158"/>
      <c r="P1484" s="156"/>
    </row>
    <row r="1485" spans="1:17" s="16" customFormat="1" ht="24" x14ac:dyDescent="0.2">
      <c r="A1485" t="s">
        <v>1681</v>
      </c>
      <c r="B1485" t="s">
        <v>1401</v>
      </c>
      <c r="C1485" s="16" t="s">
        <v>1723</v>
      </c>
      <c r="D1485" s="142" t="s">
        <v>2031</v>
      </c>
      <c r="E1485" s="143" t="s">
        <v>2032</v>
      </c>
      <c r="F1485" s="164" t="s">
        <v>2033</v>
      </c>
      <c r="G1485" s="143" t="s">
        <v>420</v>
      </c>
      <c r="H1485" s="165">
        <v>0.06</v>
      </c>
      <c r="I1485" s="165">
        <v>0.14399999999999999</v>
      </c>
      <c r="J1485" s="158">
        <v>4107143</v>
      </c>
      <c r="K1485" s="158">
        <f t="shared" si="273"/>
        <v>591428.59199999995</v>
      </c>
      <c r="L1485" s="158"/>
      <c r="M1485" s="158"/>
      <c r="N1485" s="158">
        <f t="shared" si="276"/>
        <v>591428.59199999995</v>
      </c>
      <c r="O1485" s="158"/>
      <c r="P1485" s="156"/>
    </row>
    <row r="1486" spans="1:17" s="16" customFormat="1" ht="24" x14ac:dyDescent="0.2">
      <c r="A1486" t="s">
        <v>1681</v>
      </c>
      <c r="B1486" t="s">
        <v>1401</v>
      </c>
      <c r="C1486" s="16" t="s">
        <v>1723</v>
      </c>
      <c r="D1486" s="142" t="s">
        <v>2034</v>
      </c>
      <c r="E1486" s="143" t="s">
        <v>2035</v>
      </c>
      <c r="F1486" s="164" t="s">
        <v>2036</v>
      </c>
      <c r="G1486" s="143" t="s">
        <v>420</v>
      </c>
      <c r="H1486" s="165">
        <v>0.83</v>
      </c>
      <c r="I1486" s="165">
        <v>1.992</v>
      </c>
      <c r="J1486" s="158">
        <v>4107143</v>
      </c>
      <c r="K1486" s="158">
        <f t="shared" si="273"/>
        <v>8181428.8559999997</v>
      </c>
      <c r="L1486" s="158"/>
      <c r="M1486" s="158"/>
      <c r="N1486" s="158">
        <f t="shared" si="276"/>
        <v>8181428.8559999997</v>
      </c>
      <c r="O1486" s="158"/>
      <c r="P1486" s="156"/>
    </row>
    <row r="1487" spans="1:17" s="16" customFormat="1" x14ac:dyDescent="0.2">
      <c r="A1487" t="s">
        <v>1681</v>
      </c>
      <c r="B1487" t="s">
        <v>1401</v>
      </c>
      <c r="C1487" s="16" t="s">
        <v>1723</v>
      </c>
      <c r="D1487" s="142" t="s">
        <v>2037</v>
      </c>
      <c r="E1487" s="143" t="s">
        <v>2038</v>
      </c>
      <c r="F1487" s="164" t="s">
        <v>2039</v>
      </c>
      <c r="G1487" s="143" t="s">
        <v>107</v>
      </c>
      <c r="H1487" s="165">
        <v>1.9599999999999999E-3</v>
      </c>
      <c r="I1487" s="165">
        <v>4.7039999999999998E-3</v>
      </c>
      <c r="J1487" s="158">
        <v>1800000</v>
      </c>
      <c r="K1487" s="158">
        <f t="shared" si="273"/>
        <v>8467.1999999999989</v>
      </c>
      <c r="L1487" s="158"/>
      <c r="M1487" s="158"/>
      <c r="N1487" s="158">
        <f t="shared" si="276"/>
        <v>8467.1999999999989</v>
      </c>
      <c r="O1487" s="158"/>
      <c r="P1487" s="156"/>
    </row>
    <row r="1488" spans="1:17" s="1" customFormat="1" x14ac:dyDescent="0.2">
      <c r="A1488" t="s">
        <v>1681</v>
      </c>
      <c r="B1488" t="s">
        <v>1401</v>
      </c>
      <c r="C1488" s="1" t="s">
        <v>1683</v>
      </c>
      <c r="D1488" s="130" t="s">
        <v>958</v>
      </c>
      <c r="E1488" s="131" t="s">
        <v>2014</v>
      </c>
      <c r="F1488" s="131" t="s">
        <v>2040</v>
      </c>
      <c r="G1488" s="132" t="s">
        <v>420</v>
      </c>
      <c r="H1488" s="159">
        <v>3.99</v>
      </c>
      <c r="I1488" s="159"/>
      <c r="J1488" s="158"/>
      <c r="K1488" s="158"/>
      <c r="L1488" s="158"/>
      <c r="M1488" s="158"/>
      <c r="N1488" s="158"/>
      <c r="O1488" s="158"/>
      <c r="P1488" s="153"/>
      <c r="Q1488" s="35"/>
    </row>
    <row r="1489" spans="1:17" s="14" customFormat="1" x14ac:dyDescent="0.2">
      <c r="A1489" t="s">
        <v>1681</v>
      </c>
      <c r="B1489" t="s">
        <v>1401</v>
      </c>
      <c r="C1489" s="14" t="s">
        <v>24</v>
      </c>
      <c r="D1489" s="134" t="s">
        <v>961</v>
      </c>
      <c r="E1489" s="135" t="s">
        <v>18</v>
      </c>
      <c r="F1489" s="160" t="s">
        <v>23</v>
      </c>
      <c r="G1489" s="135" t="s">
        <v>24</v>
      </c>
      <c r="H1489" s="158">
        <v>24.09</v>
      </c>
      <c r="I1489" s="158">
        <v>96.119100000000003</v>
      </c>
      <c r="J1489" s="158">
        <v>22914.53</v>
      </c>
      <c r="K1489" s="158">
        <f t="shared" ref="K1489:K1500" si="277">+J1489*I1489</f>
        <v>2202524.000523</v>
      </c>
      <c r="L1489" s="158">
        <f t="shared" ref="L1489:L1490" si="278">+J1489*I1489</f>
        <v>2202524.000523</v>
      </c>
      <c r="M1489" s="158"/>
      <c r="N1489" s="158"/>
      <c r="O1489" s="158"/>
      <c r="P1489" s="154"/>
    </row>
    <row r="1490" spans="1:17" s="16" customFormat="1" x14ac:dyDescent="0.2">
      <c r="A1490" t="s">
        <v>1681</v>
      </c>
      <c r="B1490" t="s">
        <v>1401</v>
      </c>
      <c r="C1490" s="14" t="s">
        <v>24</v>
      </c>
      <c r="D1490" s="134" t="s">
        <v>962</v>
      </c>
      <c r="E1490" s="135" t="s">
        <v>52</v>
      </c>
      <c r="F1490" s="160" t="s">
        <v>1687</v>
      </c>
      <c r="G1490" s="135" t="s">
        <v>24</v>
      </c>
      <c r="H1490" s="158">
        <v>0.37</v>
      </c>
      <c r="I1490" s="158">
        <v>1.4762999999999999</v>
      </c>
      <c r="J1490" s="158"/>
      <c r="K1490" s="158">
        <f t="shared" si="277"/>
        <v>0</v>
      </c>
      <c r="L1490" s="158">
        <f t="shared" si="278"/>
        <v>0</v>
      </c>
      <c r="M1490" s="158"/>
      <c r="N1490" s="158"/>
      <c r="O1490" s="158"/>
      <c r="P1490" s="156"/>
    </row>
    <row r="1491" spans="1:17" s="15" customFormat="1" ht="24" x14ac:dyDescent="0.2">
      <c r="A1491" t="s">
        <v>1681</v>
      </c>
      <c r="B1491" t="s">
        <v>1401</v>
      </c>
      <c r="C1491" s="124" t="s">
        <v>28</v>
      </c>
      <c r="D1491" s="138" t="s">
        <v>963</v>
      </c>
      <c r="E1491" s="139" t="s">
        <v>876</v>
      </c>
      <c r="F1491" s="161" t="s">
        <v>877</v>
      </c>
      <c r="G1491" s="139" t="s">
        <v>28</v>
      </c>
      <c r="H1491" s="162">
        <v>0.15</v>
      </c>
      <c r="I1491" s="162">
        <v>0.59850000000000003</v>
      </c>
      <c r="J1491" s="158">
        <v>239461</v>
      </c>
      <c r="K1491" s="158">
        <f t="shared" si="277"/>
        <v>143317.40850000002</v>
      </c>
      <c r="L1491" s="158"/>
      <c r="M1491" s="158">
        <f t="shared" ref="M1491:M1493" si="279">+J1491*I1491</f>
        <v>143317.40850000002</v>
      </c>
      <c r="N1491" s="158"/>
      <c r="O1491" s="158"/>
      <c r="P1491" s="155"/>
    </row>
    <row r="1492" spans="1:17" s="15" customFormat="1" x14ac:dyDescent="0.2">
      <c r="A1492" t="s">
        <v>1681</v>
      </c>
      <c r="B1492" t="s">
        <v>1401</v>
      </c>
      <c r="C1492" s="124" t="s">
        <v>28</v>
      </c>
      <c r="D1492" s="138" t="s">
        <v>966</v>
      </c>
      <c r="E1492" s="139" t="s">
        <v>2020</v>
      </c>
      <c r="F1492" s="161" t="s">
        <v>2021</v>
      </c>
      <c r="G1492" s="139" t="s">
        <v>28</v>
      </c>
      <c r="H1492" s="162">
        <v>0.44</v>
      </c>
      <c r="I1492" s="162">
        <v>1.7556</v>
      </c>
      <c r="J1492" s="158">
        <v>2211</v>
      </c>
      <c r="K1492" s="158">
        <f t="shared" si="277"/>
        <v>3881.6316000000002</v>
      </c>
      <c r="L1492" s="158"/>
      <c r="M1492" s="158">
        <f t="shared" si="279"/>
        <v>3881.6316000000002</v>
      </c>
      <c r="N1492" s="158"/>
      <c r="O1492" s="158"/>
      <c r="P1492" s="155"/>
    </row>
    <row r="1493" spans="1:17" s="15" customFormat="1" x14ac:dyDescent="0.2">
      <c r="A1493" t="s">
        <v>1681</v>
      </c>
      <c r="B1493" t="s">
        <v>1401</v>
      </c>
      <c r="C1493" s="124" t="s">
        <v>28</v>
      </c>
      <c r="D1493" s="138" t="s">
        <v>969</v>
      </c>
      <c r="E1493" s="139" t="s">
        <v>30</v>
      </c>
      <c r="F1493" s="161" t="s">
        <v>31</v>
      </c>
      <c r="G1493" s="139" t="s">
        <v>28</v>
      </c>
      <c r="H1493" s="162">
        <v>0.22</v>
      </c>
      <c r="I1493" s="162">
        <v>0.87780000000000002</v>
      </c>
      <c r="J1493" s="158">
        <v>106655</v>
      </c>
      <c r="K1493" s="158">
        <f t="shared" si="277"/>
        <v>93621.759000000005</v>
      </c>
      <c r="L1493" s="158"/>
      <c r="M1493" s="158">
        <f t="shared" si="279"/>
        <v>93621.759000000005</v>
      </c>
      <c r="N1493" s="158"/>
      <c r="O1493" s="158"/>
      <c r="P1493" s="155"/>
    </row>
    <row r="1494" spans="1:17" s="16" customFormat="1" x14ac:dyDescent="0.2">
      <c r="A1494" t="s">
        <v>1681</v>
      </c>
      <c r="B1494" t="s">
        <v>1401</v>
      </c>
      <c r="C1494" s="16" t="s">
        <v>1723</v>
      </c>
      <c r="D1494" s="142" t="s">
        <v>2041</v>
      </c>
      <c r="E1494" s="143" t="s">
        <v>124</v>
      </c>
      <c r="F1494" s="164" t="s">
        <v>125</v>
      </c>
      <c r="G1494" s="143" t="s">
        <v>107</v>
      </c>
      <c r="H1494" s="165">
        <v>7.1999999999999998E-3</v>
      </c>
      <c r="I1494" s="165">
        <v>2.8728E-2</v>
      </c>
      <c r="J1494" s="158">
        <v>9500000</v>
      </c>
      <c r="K1494" s="158">
        <f t="shared" si="277"/>
        <v>272916</v>
      </c>
      <c r="L1494" s="158"/>
      <c r="M1494" s="158"/>
      <c r="N1494" s="158">
        <f t="shared" ref="N1494:N1500" si="280">+J1494*I1494</f>
        <v>272916</v>
      </c>
      <c r="O1494" s="158"/>
      <c r="P1494" s="156"/>
    </row>
    <row r="1495" spans="1:17" s="16" customFormat="1" ht="24" x14ac:dyDescent="0.2">
      <c r="A1495" t="s">
        <v>1681</v>
      </c>
      <c r="B1495" t="s">
        <v>1401</v>
      </c>
      <c r="C1495" s="16" t="s">
        <v>1723</v>
      </c>
      <c r="D1495" s="142" t="s">
        <v>2042</v>
      </c>
      <c r="E1495" s="143" t="s">
        <v>2025</v>
      </c>
      <c r="F1495" s="164" t="s">
        <v>2026</v>
      </c>
      <c r="G1495" s="143" t="s">
        <v>38</v>
      </c>
      <c r="H1495" s="165">
        <v>3.38</v>
      </c>
      <c r="I1495" s="165">
        <v>13.4862</v>
      </c>
      <c r="J1495" s="158">
        <v>3500</v>
      </c>
      <c r="K1495" s="158">
        <f t="shared" si="277"/>
        <v>47201.7</v>
      </c>
      <c r="L1495" s="158"/>
      <c r="M1495" s="158"/>
      <c r="N1495" s="158">
        <f t="shared" si="280"/>
        <v>47201.7</v>
      </c>
      <c r="O1495" s="158"/>
      <c r="P1495" s="156"/>
    </row>
    <row r="1496" spans="1:17" s="16" customFormat="1" x14ac:dyDescent="0.2">
      <c r="A1496" t="s">
        <v>1681</v>
      </c>
      <c r="B1496" t="s">
        <v>1401</v>
      </c>
      <c r="C1496" s="16" t="s">
        <v>1723</v>
      </c>
      <c r="D1496" s="142" t="s">
        <v>2043</v>
      </c>
      <c r="E1496" s="143" t="s">
        <v>1185</v>
      </c>
      <c r="F1496" s="164" t="s">
        <v>1186</v>
      </c>
      <c r="G1496" s="143" t="s">
        <v>107</v>
      </c>
      <c r="H1496" s="165">
        <v>4.3800000000000002E-3</v>
      </c>
      <c r="I1496" s="165">
        <v>1.7475999999999998E-2</v>
      </c>
      <c r="J1496" s="158">
        <v>7812501</v>
      </c>
      <c r="K1496" s="158">
        <f t="shared" si="277"/>
        <v>136531.26747599998</v>
      </c>
      <c r="L1496" s="158"/>
      <c r="M1496" s="158"/>
      <c r="N1496" s="158">
        <f t="shared" si="280"/>
        <v>136531.26747599998</v>
      </c>
      <c r="O1496" s="158"/>
      <c r="P1496" s="156"/>
    </row>
    <row r="1497" spans="1:17" s="16" customFormat="1" ht="24" x14ac:dyDescent="0.2">
      <c r="A1497" t="s">
        <v>1681</v>
      </c>
      <c r="B1497" t="s">
        <v>1401</v>
      </c>
      <c r="C1497" s="16" t="s">
        <v>1723</v>
      </c>
      <c r="D1497" s="142" t="s">
        <v>2044</v>
      </c>
      <c r="E1497" s="143" t="s">
        <v>2029</v>
      </c>
      <c r="F1497" s="164" t="s">
        <v>2030</v>
      </c>
      <c r="G1497" s="143" t="s">
        <v>420</v>
      </c>
      <c r="H1497" s="165">
        <v>0.16</v>
      </c>
      <c r="I1497" s="165">
        <v>0.63839999999999997</v>
      </c>
      <c r="J1497" s="158">
        <v>4107143</v>
      </c>
      <c r="K1497" s="158">
        <f t="shared" si="277"/>
        <v>2622000.0911999997</v>
      </c>
      <c r="L1497" s="158"/>
      <c r="M1497" s="158"/>
      <c r="N1497" s="158">
        <f t="shared" si="280"/>
        <v>2622000.0911999997</v>
      </c>
      <c r="O1497" s="158"/>
      <c r="P1497" s="156"/>
    </row>
    <row r="1498" spans="1:17" s="16" customFormat="1" ht="24" x14ac:dyDescent="0.2">
      <c r="A1498" t="s">
        <v>1681</v>
      </c>
      <c r="B1498" t="s">
        <v>1401</v>
      </c>
      <c r="C1498" s="16" t="s">
        <v>1723</v>
      </c>
      <c r="D1498" s="142" t="s">
        <v>2045</v>
      </c>
      <c r="E1498" s="143" t="s">
        <v>2032</v>
      </c>
      <c r="F1498" s="164" t="s">
        <v>2033</v>
      </c>
      <c r="G1498" s="143" t="s">
        <v>420</v>
      </c>
      <c r="H1498" s="165">
        <v>0.06</v>
      </c>
      <c r="I1498" s="165">
        <v>0.2394</v>
      </c>
      <c r="J1498" s="158">
        <v>4107143</v>
      </c>
      <c r="K1498" s="158">
        <f t="shared" si="277"/>
        <v>983250.03419999999</v>
      </c>
      <c r="L1498" s="158"/>
      <c r="M1498" s="158"/>
      <c r="N1498" s="158">
        <f t="shared" si="280"/>
        <v>983250.03419999999</v>
      </c>
      <c r="O1498" s="158"/>
      <c r="P1498" s="156"/>
    </row>
    <row r="1499" spans="1:17" s="16" customFormat="1" ht="24" x14ac:dyDescent="0.2">
      <c r="A1499" t="s">
        <v>1681</v>
      </c>
      <c r="B1499" t="s">
        <v>1401</v>
      </c>
      <c r="C1499" s="16" t="s">
        <v>1723</v>
      </c>
      <c r="D1499" s="142" t="s">
        <v>2046</v>
      </c>
      <c r="E1499" s="143" t="s">
        <v>2035</v>
      </c>
      <c r="F1499" s="164" t="s">
        <v>2036</v>
      </c>
      <c r="G1499" s="143" t="s">
        <v>420</v>
      </c>
      <c r="H1499" s="165">
        <v>0.83</v>
      </c>
      <c r="I1499" s="165">
        <v>3.3117000000000001</v>
      </c>
      <c r="J1499" s="158">
        <v>4107143</v>
      </c>
      <c r="K1499" s="158">
        <f t="shared" si="277"/>
        <v>13601625.473100001</v>
      </c>
      <c r="L1499" s="158"/>
      <c r="M1499" s="158"/>
      <c r="N1499" s="158">
        <f t="shared" si="280"/>
        <v>13601625.473100001</v>
      </c>
      <c r="O1499" s="158"/>
      <c r="P1499" s="156"/>
    </row>
    <row r="1500" spans="1:17" s="16" customFormat="1" x14ac:dyDescent="0.2">
      <c r="A1500" t="s">
        <v>1681</v>
      </c>
      <c r="B1500" t="s">
        <v>1401</v>
      </c>
      <c r="C1500" s="16" t="s">
        <v>1723</v>
      </c>
      <c r="D1500" s="142" t="s">
        <v>2047</v>
      </c>
      <c r="E1500" s="143" t="s">
        <v>2038</v>
      </c>
      <c r="F1500" s="164" t="s">
        <v>2039</v>
      </c>
      <c r="G1500" s="143" t="s">
        <v>107</v>
      </c>
      <c r="H1500" s="165">
        <v>1.9599999999999999E-3</v>
      </c>
      <c r="I1500" s="165">
        <v>7.8200000000000006E-3</v>
      </c>
      <c r="J1500" s="158">
        <v>1800000</v>
      </c>
      <c r="K1500" s="158">
        <f t="shared" si="277"/>
        <v>14076.000000000002</v>
      </c>
      <c r="L1500" s="158"/>
      <c r="M1500" s="158"/>
      <c r="N1500" s="158">
        <f t="shared" si="280"/>
        <v>14076.000000000002</v>
      </c>
      <c r="O1500" s="158"/>
      <c r="P1500" s="156"/>
    </row>
    <row r="1501" spans="1:17" s="1" customFormat="1" x14ac:dyDescent="0.2">
      <c r="A1501" t="s">
        <v>1681</v>
      </c>
      <c r="B1501" t="s">
        <v>1401</v>
      </c>
      <c r="C1501" s="1" t="s">
        <v>1683</v>
      </c>
      <c r="D1501" s="130" t="s">
        <v>972</v>
      </c>
      <c r="E1501" s="131" t="s">
        <v>2048</v>
      </c>
      <c r="F1501" s="131" t="s">
        <v>2049</v>
      </c>
      <c r="G1501" s="132" t="s">
        <v>420</v>
      </c>
      <c r="H1501" s="159">
        <v>3.75</v>
      </c>
      <c r="I1501" s="159"/>
      <c r="J1501" s="158"/>
      <c r="K1501" s="158"/>
      <c r="L1501" s="158"/>
      <c r="M1501" s="158"/>
      <c r="N1501" s="158"/>
      <c r="O1501" s="158"/>
      <c r="P1501" s="153"/>
      <c r="Q1501" s="35"/>
    </row>
    <row r="1502" spans="1:17" s="14" customFormat="1" x14ac:dyDescent="0.2">
      <c r="A1502" t="s">
        <v>1681</v>
      </c>
      <c r="B1502" t="s">
        <v>1401</v>
      </c>
      <c r="C1502" s="14" t="s">
        <v>24</v>
      </c>
      <c r="D1502" s="134" t="s">
        <v>975</v>
      </c>
      <c r="E1502" s="135" t="s">
        <v>18</v>
      </c>
      <c r="F1502" s="160" t="s">
        <v>23</v>
      </c>
      <c r="G1502" s="135" t="s">
        <v>24</v>
      </c>
      <c r="H1502" s="158">
        <v>15.04</v>
      </c>
      <c r="I1502" s="158">
        <v>56.4</v>
      </c>
      <c r="J1502" s="158">
        <v>22914.53</v>
      </c>
      <c r="K1502" s="158">
        <f t="shared" ref="K1502:K1510" si="281">+J1502*I1502</f>
        <v>1292379.4919999999</v>
      </c>
      <c r="L1502" s="158">
        <f t="shared" ref="L1502:L1503" si="282">+J1502*I1502</f>
        <v>1292379.4919999999</v>
      </c>
      <c r="M1502" s="158"/>
      <c r="N1502" s="158"/>
      <c r="O1502" s="158"/>
      <c r="P1502" s="154"/>
    </row>
    <row r="1503" spans="1:17" s="16" customFormat="1" x14ac:dyDescent="0.2">
      <c r="A1503" t="s">
        <v>1681</v>
      </c>
      <c r="B1503" t="s">
        <v>1401</v>
      </c>
      <c r="C1503" s="14" t="s">
        <v>24</v>
      </c>
      <c r="D1503" s="134" t="s">
        <v>976</v>
      </c>
      <c r="E1503" s="135" t="s">
        <v>52</v>
      </c>
      <c r="F1503" s="160" t="s">
        <v>1687</v>
      </c>
      <c r="G1503" s="135" t="s">
        <v>24</v>
      </c>
      <c r="H1503" s="158">
        <v>0.36</v>
      </c>
      <c r="I1503" s="158">
        <v>1.35</v>
      </c>
      <c r="J1503" s="158"/>
      <c r="K1503" s="158">
        <f t="shared" si="281"/>
        <v>0</v>
      </c>
      <c r="L1503" s="158">
        <f t="shared" si="282"/>
        <v>0</v>
      </c>
      <c r="M1503" s="158"/>
      <c r="N1503" s="158"/>
      <c r="O1503" s="158"/>
      <c r="P1503" s="156"/>
    </row>
    <row r="1504" spans="1:17" s="15" customFormat="1" ht="24" x14ac:dyDescent="0.2">
      <c r="A1504" t="s">
        <v>1681</v>
      </c>
      <c r="B1504" t="s">
        <v>1401</v>
      </c>
      <c r="C1504" s="124" t="s">
        <v>28</v>
      </c>
      <c r="D1504" s="138" t="s">
        <v>977</v>
      </c>
      <c r="E1504" s="139" t="s">
        <v>876</v>
      </c>
      <c r="F1504" s="161" t="s">
        <v>877</v>
      </c>
      <c r="G1504" s="139" t="s">
        <v>28</v>
      </c>
      <c r="H1504" s="162">
        <v>0.15</v>
      </c>
      <c r="I1504" s="162">
        <v>0.5625</v>
      </c>
      <c r="J1504" s="158">
        <v>239461</v>
      </c>
      <c r="K1504" s="158">
        <f t="shared" si="281"/>
        <v>134696.8125</v>
      </c>
      <c r="L1504" s="158"/>
      <c r="M1504" s="158">
        <f t="shared" ref="M1504:M1506" si="283">+J1504*I1504</f>
        <v>134696.8125</v>
      </c>
      <c r="N1504" s="158"/>
      <c r="O1504" s="158"/>
      <c r="P1504" s="155"/>
    </row>
    <row r="1505" spans="1:17" s="15" customFormat="1" x14ac:dyDescent="0.2">
      <c r="A1505" t="s">
        <v>1681</v>
      </c>
      <c r="B1505" t="s">
        <v>1401</v>
      </c>
      <c r="C1505" s="124" t="s">
        <v>28</v>
      </c>
      <c r="D1505" s="138" t="s">
        <v>978</v>
      </c>
      <c r="E1505" s="139" t="s">
        <v>964</v>
      </c>
      <c r="F1505" s="161" t="s">
        <v>965</v>
      </c>
      <c r="G1505" s="139" t="s">
        <v>28</v>
      </c>
      <c r="H1505" s="162">
        <v>0.14000000000000001</v>
      </c>
      <c r="I1505" s="162">
        <v>0.52500000000000002</v>
      </c>
      <c r="J1505" s="158">
        <v>1349</v>
      </c>
      <c r="K1505" s="158">
        <f t="shared" si="281"/>
        <v>708.22500000000002</v>
      </c>
      <c r="L1505" s="158"/>
      <c r="M1505" s="158">
        <f t="shared" si="283"/>
        <v>708.22500000000002</v>
      </c>
      <c r="N1505" s="158"/>
      <c r="O1505" s="158"/>
      <c r="P1505" s="155"/>
    </row>
    <row r="1506" spans="1:17" s="15" customFormat="1" x14ac:dyDescent="0.2">
      <c r="A1506" t="s">
        <v>1681</v>
      </c>
      <c r="B1506" t="s">
        <v>1401</v>
      </c>
      <c r="C1506" s="124" t="s">
        <v>28</v>
      </c>
      <c r="D1506" s="138" t="s">
        <v>979</v>
      </c>
      <c r="E1506" s="139" t="s">
        <v>30</v>
      </c>
      <c r="F1506" s="161" t="s">
        <v>31</v>
      </c>
      <c r="G1506" s="139" t="s">
        <v>28</v>
      </c>
      <c r="H1506" s="162">
        <v>0.21</v>
      </c>
      <c r="I1506" s="162">
        <v>0.78749999999999998</v>
      </c>
      <c r="J1506" s="158">
        <v>106655</v>
      </c>
      <c r="K1506" s="158">
        <f t="shared" si="281"/>
        <v>83990.8125</v>
      </c>
      <c r="L1506" s="158"/>
      <c r="M1506" s="158">
        <f t="shared" si="283"/>
        <v>83990.8125</v>
      </c>
      <c r="N1506" s="158"/>
      <c r="O1506" s="158"/>
      <c r="P1506" s="155"/>
    </row>
    <row r="1507" spans="1:17" s="16" customFormat="1" x14ac:dyDescent="0.2">
      <c r="A1507" t="s">
        <v>1681</v>
      </c>
      <c r="B1507" t="s">
        <v>1401</v>
      </c>
      <c r="C1507" s="16" t="s">
        <v>1723</v>
      </c>
      <c r="D1507" s="142" t="s">
        <v>980</v>
      </c>
      <c r="E1507" s="143" t="s">
        <v>2050</v>
      </c>
      <c r="F1507" s="164" t="s">
        <v>2051</v>
      </c>
      <c r="G1507" s="143" t="s">
        <v>107</v>
      </c>
      <c r="H1507" s="165">
        <v>6.9999999999999999E-4</v>
      </c>
      <c r="I1507" s="165">
        <v>2.6250000000000002E-3</v>
      </c>
      <c r="J1507" s="158">
        <v>9500000</v>
      </c>
      <c r="K1507" s="158">
        <f t="shared" si="281"/>
        <v>24937.5</v>
      </c>
      <c r="L1507" s="158"/>
      <c r="M1507" s="158"/>
      <c r="N1507" s="158">
        <f t="shared" ref="N1507:N1510" si="284">+J1507*I1507</f>
        <v>24937.5</v>
      </c>
      <c r="O1507" s="158"/>
      <c r="P1507" s="156"/>
    </row>
    <row r="1508" spans="1:17" s="16" customFormat="1" ht="24" x14ac:dyDescent="0.2">
      <c r="A1508" t="s">
        <v>1681</v>
      </c>
      <c r="B1508" t="s">
        <v>1401</v>
      </c>
      <c r="C1508" s="16" t="s">
        <v>1723</v>
      </c>
      <c r="D1508" s="142" t="s">
        <v>983</v>
      </c>
      <c r="E1508" s="143" t="s">
        <v>1193</v>
      </c>
      <c r="F1508" s="164" t="s">
        <v>1194</v>
      </c>
      <c r="G1508" s="143" t="s">
        <v>420</v>
      </c>
      <c r="H1508" s="165">
        <v>1.02</v>
      </c>
      <c r="I1508" s="165">
        <v>3.8250000000000002</v>
      </c>
      <c r="J1508" s="158">
        <v>4107143</v>
      </c>
      <c r="K1508" s="158">
        <f t="shared" si="281"/>
        <v>15709821.975000001</v>
      </c>
      <c r="L1508" s="158"/>
      <c r="M1508" s="158"/>
      <c r="N1508" s="158">
        <f t="shared" si="284"/>
        <v>15709821.975000001</v>
      </c>
      <c r="O1508" s="158"/>
      <c r="P1508" s="156"/>
    </row>
    <row r="1509" spans="1:17" s="16" customFormat="1" ht="24" x14ac:dyDescent="0.2">
      <c r="A1509" t="s">
        <v>1681</v>
      </c>
      <c r="B1509" t="s">
        <v>1401</v>
      </c>
      <c r="C1509" s="16" t="s">
        <v>1723</v>
      </c>
      <c r="D1509" s="142" t="s">
        <v>986</v>
      </c>
      <c r="E1509" s="143" t="s">
        <v>1776</v>
      </c>
      <c r="F1509" s="164" t="s">
        <v>1777</v>
      </c>
      <c r="G1509" s="143" t="s">
        <v>420</v>
      </c>
      <c r="H1509" s="165">
        <v>0.03</v>
      </c>
      <c r="I1509" s="165">
        <v>0.1125</v>
      </c>
      <c r="J1509" s="158">
        <v>4107143</v>
      </c>
      <c r="K1509" s="158">
        <f t="shared" si="281"/>
        <v>462053.58750000002</v>
      </c>
      <c r="L1509" s="158"/>
      <c r="M1509" s="158"/>
      <c r="N1509" s="158">
        <f t="shared" si="284"/>
        <v>462053.58750000002</v>
      </c>
      <c r="O1509" s="158"/>
      <c r="P1509" s="156"/>
    </row>
    <row r="1510" spans="1:17" s="16" customFormat="1" x14ac:dyDescent="0.2">
      <c r="A1510" t="s">
        <v>1681</v>
      </c>
      <c r="B1510" t="s">
        <v>1401</v>
      </c>
      <c r="C1510" s="16" t="s">
        <v>1723</v>
      </c>
      <c r="D1510" s="142" t="s">
        <v>989</v>
      </c>
      <c r="E1510" s="143" t="s">
        <v>2038</v>
      </c>
      <c r="F1510" s="164" t="s">
        <v>2039</v>
      </c>
      <c r="G1510" s="143" t="s">
        <v>107</v>
      </c>
      <c r="H1510" s="165">
        <v>1.5E-3</v>
      </c>
      <c r="I1510" s="165">
        <v>5.6249999999999998E-3</v>
      </c>
      <c r="J1510" s="158">
        <v>1800000</v>
      </c>
      <c r="K1510" s="158">
        <f t="shared" si="281"/>
        <v>10125</v>
      </c>
      <c r="L1510" s="158"/>
      <c r="M1510" s="158"/>
      <c r="N1510" s="158">
        <f t="shared" si="284"/>
        <v>10125</v>
      </c>
      <c r="O1510" s="158"/>
      <c r="P1510" s="156"/>
    </row>
    <row r="1511" spans="1:17" s="1" customFormat="1" ht="25.5" x14ac:dyDescent="0.2">
      <c r="A1511" t="s">
        <v>1681</v>
      </c>
      <c r="B1511" t="s">
        <v>1401</v>
      </c>
      <c r="C1511" s="1" t="s">
        <v>1683</v>
      </c>
      <c r="D1511" s="130" t="s">
        <v>993</v>
      </c>
      <c r="E1511" s="131" t="s">
        <v>2052</v>
      </c>
      <c r="F1511" s="131" t="s">
        <v>2053</v>
      </c>
      <c r="G1511" s="132" t="s">
        <v>2054</v>
      </c>
      <c r="H1511" s="159">
        <v>0.63900000000000001</v>
      </c>
      <c r="I1511" s="159"/>
      <c r="J1511" s="158"/>
      <c r="K1511" s="158"/>
      <c r="L1511" s="158"/>
      <c r="M1511" s="158"/>
      <c r="N1511" s="158"/>
      <c r="O1511" s="158"/>
      <c r="P1511" s="153"/>
      <c r="Q1511" s="35"/>
    </row>
    <row r="1512" spans="1:17" s="14" customFormat="1" x14ac:dyDescent="0.2">
      <c r="A1512" t="s">
        <v>1681</v>
      </c>
      <c r="B1512" t="s">
        <v>1401</v>
      </c>
      <c r="C1512" s="14" t="s">
        <v>24</v>
      </c>
      <c r="D1512" s="134" t="s">
        <v>995</v>
      </c>
      <c r="E1512" s="135" t="s">
        <v>18</v>
      </c>
      <c r="F1512" s="160" t="s">
        <v>23</v>
      </c>
      <c r="G1512" s="135" t="s">
        <v>24</v>
      </c>
      <c r="H1512" s="158">
        <v>8.5</v>
      </c>
      <c r="I1512" s="158">
        <v>5.4314999999999998</v>
      </c>
      <c r="J1512" s="158">
        <v>22914.53</v>
      </c>
      <c r="K1512" s="158">
        <f t="shared" ref="K1512:K1519" si="285">+J1512*I1512</f>
        <v>124460.269695</v>
      </c>
      <c r="L1512" s="158">
        <f t="shared" ref="L1512:L1513" si="286">+J1512*I1512</f>
        <v>124460.269695</v>
      </c>
      <c r="M1512" s="158"/>
      <c r="N1512" s="158"/>
      <c r="O1512" s="158"/>
      <c r="P1512" s="154"/>
    </row>
    <row r="1513" spans="1:17" s="16" customFormat="1" x14ac:dyDescent="0.2">
      <c r="A1513" t="s">
        <v>1681</v>
      </c>
      <c r="B1513" t="s">
        <v>1401</v>
      </c>
      <c r="C1513" s="14" t="s">
        <v>24</v>
      </c>
      <c r="D1513" s="134" t="s">
        <v>996</v>
      </c>
      <c r="E1513" s="135" t="s">
        <v>52</v>
      </c>
      <c r="F1513" s="160" t="s">
        <v>1687</v>
      </c>
      <c r="G1513" s="135" t="s">
        <v>24</v>
      </c>
      <c r="H1513" s="158">
        <v>0.17</v>
      </c>
      <c r="I1513" s="158">
        <v>0.10863</v>
      </c>
      <c r="J1513" s="158"/>
      <c r="K1513" s="158">
        <f t="shared" si="285"/>
        <v>0</v>
      </c>
      <c r="L1513" s="158">
        <f t="shared" si="286"/>
        <v>0</v>
      </c>
      <c r="M1513" s="158"/>
      <c r="N1513" s="158"/>
      <c r="O1513" s="158"/>
      <c r="P1513" s="156"/>
    </row>
    <row r="1514" spans="1:17" s="15" customFormat="1" ht="24" x14ac:dyDescent="0.2">
      <c r="A1514" t="s">
        <v>1681</v>
      </c>
      <c r="B1514" t="s">
        <v>1401</v>
      </c>
      <c r="C1514" s="124" t="s">
        <v>28</v>
      </c>
      <c r="D1514" s="138" t="s">
        <v>997</v>
      </c>
      <c r="E1514" s="139" t="s">
        <v>810</v>
      </c>
      <c r="F1514" s="161" t="s">
        <v>2055</v>
      </c>
      <c r="G1514" s="139" t="s">
        <v>28</v>
      </c>
      <c r="H1514" s="162">
        <v>0.6</v>
      </c>
      <c r="I1514" s="162">
        <v>0.38340000000000002</v>
      </c>
      <c r="J1514" s="158">
        <v>4064</v>
      </c>
      <c r="K1514" s="158">
        <f t="shared" si="285"/>
        <v>1558.1376</v>
      </c>
      <c r="L1514" s="158"/>
      <c r="M1514" s="158">
        <f t="shared" ref="M1514:M1516" si="287">+J1514*I1514</f>
        <v>1558.1376</v>
      </c>
      <c r="N1514" s="158"/>
      <c r="O1514" s="158"/>
      <c r="P1514" s="155"/>
    </row>
    <row r="1515" spans="1:17" s="15" customFormat="1" ht="24" x14ac:dyDescent="0.2">
      <c r="A1515" t="s">
        <v>1681</v>
      </c>
      <c r="B1515" t="s">
        <v>1401</v>
      </c>
      <c r="C1515" s="124" t="s">
        <v>28</v>
      </c>
      <c r="D1515" s="138" t="s">
        <v>998</v>
      </c>
      <c r="E1515" s="139" t="s">
        <v>876</v>
      </c>
      <c r="F1515" s="161" t="s">
        <v>877</v>
      </c>
      <c r="G1515" s="139" t="s">
        <v>28</v>
      </c>
      <c r="H1515" s="162">
        <v>0.05</v>
      </c>
      <c r="I1515" s="162">
        <v>3.1949999999999999E-2</v>
      </c>
      <c r="J1515" s="158">
        <v>239461</v>
      </c>
      <c r="K1515" s="158">
        <f t="shared" si="285"/>
        <v>7650.7789499999999</v>
      </c>
      <c r="L1515" s="158"/>
      <c r="M1515" s="158">
        <f t="shared" si="287"/>
        <v>7650.7789499999999</v>
      </c>
      <c r="N1515" s="158"/>
      <c r="O1515" s="158"/>
      <c r="P1515" s="155"/>
    </row>
    <row r="1516" spans="1:17" s="15" customFormat="1" x14ac:dyDescent="0.2">
      <c r="A1516" t="s">
        <v>1681</v>
      </c>
      <c r="B1516" t="s">
        <v>1401</v>
      </c>
      <c r="C1516" s="124" t="s">
        <v>28</v>
      </c>
      <c r="D1516" s="138" t="s">
        <v>2056</v>
      </c>
      <c r="E1516" s="139" t="s">
        <v>30</v>
      </c>
      <c r="F1516" s="161" t="s">
        <v>31</v>
      </c>
      <c r="G1516" s="139" t="s">
        <v>28</v>
      </c>
      <c r="H1516" s="162">
        <v>0.12</v>
      </c>
      <c r="I1516" s="162">
        <v>7.6679999999999998E-2</v>
      </c>
      <c r="J1516" s="158">
        <v>106655</v>
      </c>
      <c r="K1516" s="158">
        <f t="shared" si="285"/>
        <v>8178.3054000000002</v>
      </c>
      <c r="L1516" s="158"/>
      <c r="M1516" s="158">
        <f t="shared" si="287"/>
        <v>8178.3054000000002</v>
      </c>
      <c r="N1516" s="158"/>
      <c r="O1516" s="158"/>
      <c r="P1516" s="155"/>
    </row>
    <row r="1517" spans="1:17" s="16" customFormat="1" x14ac:dyDescent="0.2">
      <c r="A1517" t="s">
        <v>1681</v>
      </c>
      <c r="B1517" t="s">
        <v>1401</v>
      </c>
      <c r="C1517" s="16" t="s">
        <v>1723</v>
      </c>
      <c r="D1517" s="142" t="s">
        <v>2057</v>
      </c>
      <c r="E1517" s="143" t="s">
        <v>198</v>
      </c>
      <c r="F1517" s="164" t="s">
        <v>199</v>
      </c>
      <c r="G1517" s="143" t="s">
        <v>107</v>
      </c>
      <c r="H1517" s="165">
        <v>1.2E-4</v>
      </c>
      <c r="I1517" s="165">
        <v>7.7000000000000001E-5</v>
      </c>
      <c r="J1517" s="158">
        <v>6500000</v>
      </c>
      <c r="K1517" s="158">
        <f t="shared" si="285"/>
        <v>500.5</v>
      </c>
      <c r="L1517" s="158"/>
      <c r="M1517" s="158"/>
      <c r="N1517" s="158">
        <f t="shared" ref="N1517:N1519" si="288">+J1517*I1517</f>
        <v>500.5</v>
      </c>
      <c r="O1517" s="158"/>
      <c r="P1517" s="156"/>
    </row>
    <row r="1518" spans="1:17" s="16" customFormat="1" ht="24" x14ac:dyDescent="0.2">
      <c r="A1518" t="s">
        <v>1681</v>
      </c>
      <c r="B1518" t="s">
        <v>1401</v>
      </c>
      <c r="C1518" s="16" t="s">
        <v>1723</v>
      </c>
      <c r="D1518" s="142" t="s">
        <v>2058</v>
      </c>
      <c r="E1518" s="143" t="s">
        <v>2059</v>
      </c>
      <c r="F1518" s="164" t="s">
        <v>2060</v>
      </c>
      <c r="G1518" s="143" t="s">
        <v>107</v>
      </c>
      <c r="H1518" s="165">
        <v>6.7000000000000004E-2</v>
      </c>
      <c r="I1518" s="165">
        <v>4.2812999999999997E-2</v>
      </c>
      <c r="J1518" s="158">
        <v>450497</v>
      </c>
      <c r="K1518" s="158">
        <f t="shared" si="285"/>
        <v>19287.128060999999</v>
      </c>
      <c r="L1518" s="158"/>
      <c r="M1518" s="158"/>
      <c r="N1518" s="158">
        <f t="shared" si="288"/>
        <v>19287.128060999999</v>
      </c>
      <c r="O1518" s="158"/>
      <c r="P1518" s="156"/>
    </row>
    <row r="1519" spans="1:17" s="16" customFormat="1" x14ac:dyDescent="0.2">
      <c r="A1519" t="s">
        <v>1681</v>
      </c>
      <c r="B1519" t="s">
        <v>1401</v>
      </c>
      <c r="C1519" s="16" t="s">
        <v>1723</v>
      </c>
      <c r="D1519" s="142" t="s">
        <v>2061</v>
      </c>
      <c r="E1519" s="143" t="s">
        <v>2062</v>
      </c>
      <c r="F1519" s="164" t="s">
        <v>2063</v>
      </c>
      <c r="G1519" s="143" t="s">
        <v>107</v>
      </c>
      <c r="H1519" s="165">
        <v>1.7000000000000001E-2</v>
      </c>
      <c r="I1519" s="165">
        <v>1.0862999999999999E-2</v>
      </c>
      <c r="J1519" s="158">
        <v>1976413</v>
      </c>
      <c r="K1519" s="158">
        <f t="shared" si="285"/>
        <v>21469.774418999998</v>
      </c>
      <c r="L1519" s="158"/>
      <c r="M1519" s="158"/>
      <c r="N1519" s="158">
        <f t="shared" si="288"/>
        <v>21469.774418999998</v>
      </c>
      <c r="O1519" s="158"/>
      <c r="P1519" s="156"/>
    </row>
    <row r="1520" spans="1:17" s="1" customFormat="1" ht="25.5" x14ac:dyDescent="0.2">
      <c r="A1520" t="s">
        <v>1681</v>
      </c>
      <c r="B1520" t="s">
        <v>1401</v>
      </c>
      <c r="C1520" s="1" t="s">
        <v>1683</v>
      </c>
      <c r="D1520" s="130" t="s">
        <v>999</v>
      </c>
      <c r="E1520" s="131" t="s">
        <v>2064</v>
      </c>
      <c r="F1520" s="131" t="s">
        <v>2065</v>
      </c>
      <c r="G1520" s="132" t="s">
        <v>1733</v>
      </c>
      <c r="H1520" s="159">
        <v>0.32112000000000002</v>
      </c>
      <c r="I1520" s="159"/>
      <c r="J1520" s="158"/>
      <c r="K1520" s="158"/>
      <c r="L1520" s="158"/>
      <c r="M1520" s="158"/>
      <c r="N1520" s="158"/>
      <c r="O1520" s="158"/>
      <c r="P1520" s="153"/>
      <c r="Q1520" s="35"/>
    </row>
    <row r="1521" spans="1:17" s="14" customFormat="1" x14ac:dyDescent="0.2">
      <c r="A1521" t="s">
        <v>1681</v>
      </c>
      <c r="B1521" t="s">
        <v>1401</v>
      </c>
      <c r="C1521" s="14" t="s">
        <v>24</v>
      </c>
      <c r="D1521" s="134" t="s">
        <v>2066</v>
      </c>
      <c r="E1521" s="135" t="s">
        <v>18</v>
      </c>
      <c r="F1521" s="160" t="s">
        <v>23</v>
      </c>
      <c r="G1521" s="135" t="s">
        <v>24</v>
      </c>
      <c r="H1521" s="158">
        <v>31.61</v>
      </c>
      <c r="I1521" s="158">
        <v>10.150600000000001</v>
      </c>
      <c r="J1521" s="158">
        <v>22914.53</v>
      </c>
      <c r="K1521" s="158">
        <f t="shared" ref="K1521:K1530" si="289">+J1521*I1521</f>
        <v>232596.228218</v>
      </c>
      <c r="L1521" s="158">
        <f t="shared" ref="L1521:L1522" si="290">+J1521*I1521</f>
        <v>232596.228218</v>
      </c>
      <c r="M1521" s="158"/>
      <c r="N1521" s="158"/>
      <c r="O1521" s="158"/>
      <c r="P1521" s="154"/>
    </row>
    <row r="1522" spans="1:17" s="16" customFormat="1" x14ac:dyDescent="0.2">
      <c r="A1522" t="s">
        <v>1681</v>
      </c>
      <c r="B1522" t="s">
        <v>1401</v>
      </c>
      <c r="C1522" s="14" t="s">
        <v>24</v>
      </c>
      <c r="D1522" s="134" t="s">
        <v>2067</v>
      </c>
      <c r="E1522" s="135" t="s">
        <v>52</v>
      </c>
      <c r="F1522" s="160" t="s">
        <v>1687</v>
      </c>
      <c r="G1522" s="135" t="s">
        <v>24</v>
      </c>
      <c r="H1522" s="158">
        <v>0.79</v>
      </c>
      <c r="I1522" s="158">
        <v>0.25368499999999999</v>
      </c>
      <c r="J1522" s="158"/>
      <c r="K1522" s="158">
        <f t="shared" si="289"/>
        <v>0</v>
      </c>
      <c r="L1522" s="158">
        <f t="shared" si="290"/>
        <v>0</v>
      </c>
      <c r="M1522" s="158"/>
      <c r="N1522" s="158"/>
      <c r="O1522" s="158"/>
      <c r="P1522" s="156"/>
    </row>
    <row r="1523" spans="1:17" s="15" customFormat="1" ht="24" x14ac:dyDescent="0.2">
      <c r="A1523" t="s">
        <v>1681</v>
      </c>
      <c r="B1523" t="s">
        <v>1401</v>
      </c>
      <c r="C1523" s="124" t="s">
        <v>28</v>
      </c>
      <c r="D1523" s="138" t="s">
        <v>2068</v>
      </c>
      <c r="E1523" s="139" t="s">
        <v>810</v>
      </c>
      <c r="F1523" s="161" t="s">
        <v>2055</v>
      </c>
      <c r="G1523" s="139" t="s">
        <v>28</v>
      </c>
      <c r="H1523" s="162">
        <v>1.1399999999999999</v>
      </c>
      <c r="I1523" s="162">
        <v>0.36607699999999999</v>
      </c>
      <c r="J1523" s="158">
        <v>4064</v>
      </c>
      <c r="K1523" s="158">
        <f t="shared" si="289"/>
        <v>1487.736928</v>
      </c>
      <c r="L1523" s="158"/>
      <c r="M1523" s="158">
        <f t="shared" ref="M1523:M1525" si="291">+J1523*I1523</f>
        <v>1487.736928</v>
      </c>
      <c r="N1523" s="158"/>
      <c r="O1523" s="158"/>
      <c r="P1523" s="155"/>
    </row>
    <row r="1524" spans="1:17" s="15" customFormat="1" ht="24" x14ac:dyDescent="0.2">
      <c r="A1524" t="s">
        <v>1681</v>
      </c>
      <c r="B1524" t="s">
        <v>1401</v>
      </c>
      <c r="C1524" s="124" t="s">
        <v>28</v>
      </c>
      <c r="D1524" s="138" t="s">
        <v>2069</v>
      </c>
      <c r="E1524" s="139" t="s">
        <v>876</v>
      </c>
      <c r="F1524" s="161" t="s">
        <v>877</v>
      </c>
      <c r="G1524" s="139" t="s">
        <v>28</v>
      </c>
      <c r="H1524" s="162">
        <v>0.23</v>
      </c>
      <c r="I1524" s="162">
        <v>7.3857999999999993E-2</v>
      </c>
      <c r="J1524" s="158">
        <v>239461</v>
      </c>
      <c r="K1524" s="158">
        <f t="shared" si="289"/>
        <v>17686.110537999997</v>
      </c>
      <c r="L1524" s="158"/>
      <c r="M1524" s="158">
        <f t="shared" si="291"/>
        <v>17686.110537999997</v>
      </c>
      <c r="N1524" s="158"/>
      <c r="O1524" s="158"/>
      <c r="P1524" s="155"/>
    </row>
    <row r="1525" spans="1:17" s="15" customFormat="1" x14ac:dyDescent="0.2">
      <c r="A1525" t="s">
        <v>1681</v>
      </c>
      <c r="B1525" t="s">
        <v>1401</v>
      </c>
      <c r="C1525" s="124" t="s">
        <v>28</v>
      </c>
      <c r="D1525" s="138" t="s">
        <v>2070</v>
      </c>
      <c r="E1525" s="139" t="s">
        <v>30</v>
      </c>
      <c r="F1525" s="161" t="s">
        <v>31</v>
      </c>
      <c r="G1525" s="139" t="s">
        <v>28</v>
      </c>
      <c r="H1525" s="162">
        <v>0.56000000000000005</v>
      </c>
      <c r="I1525" s="162">
        <v>0.17982699999999999</v>
      </c>
      <c r="J1525" s="158">
        <v>106655</v>
      </c>
      <c r="K1525" s="158">
        <f t="shared" si="289"/>
        <v>19179.448684999999</v>
      </c>
      <c r="L1525" s="158"/>
      <c r="M1525" s="158">
        <f t="shared" si="291"/>
        <v>19179.448684999999</v>
      </c>
      <c r="N1525" s="158"/>
      <c r="O1525" s="158"/>
      <c r="P1525" s="155"/>
    </row>
    <row r="1526" spans="1:17" s="16" customFormat="1" x14ac:dyDescent="0.2">
      <c r="A1526" t="s">
        <v>1681</v>
      </c>
      <c r="B1526" t="s">
        <v>1401</v>
      </c>
      <c r="C1526" s="16" t="s">
        <v>1723</v>
      </c>
      <c r="D1526" s="142" t="s">
        <v>2071</v>
      </c>
      <c r="E1526" s="143" t="s">
        <v>1721</v>
      </c>
      <c r="F1526" s="164" t="s">
        <v>1722</v>
      </c>
      <c r="G1526" s="143" t="s">
        <v>420</v>
      </c>
      <c r="H1526" s="165">
        <v>0.79</v>
      </c>
      <c r="I1526" s="165">
        <v>0.25368499999999999</v>
      </c>
      <c r="J1526" s="158">
        <v>0</v>
      </c>
      <c r="K1526" s="158">
        <f t="shared" si="289"/>
        <v>0</v>
      </c>
      <c r="L1526" s="158"/>
      <c r="M1526" s="158"/>
      <c r="N1526" s="158">
        <f t="shared" ref="N1526:N1530" si="292">+J1526*I1526</f>
        <v>0</v>
      </c>
      <c r="O1526" s="158"/>
      <c r="P1526" s="156"/>
    </row>
    <row r="1527" spans="1:17" s="16" customFormat="1" x14ac:dyDescent="0.2">
      <c r="A1527" t="s">
        <v>1681</v>
      </c>
      <c r="B1527" t="s">
        <v>1401</v>
      </c>
      <c r="C1527" s="16" t="s">
        <v>1723</v>
      </c>
      <c r="D1527" s="142" t="s">
        <v>2072</v>
      </c>
      <c r="E1527" s="143" t="s">
        <v>198</v>
      </c>
      <c r="F1527" s="164" t="s">
        <v>199</v>
      </c>
      <c r="G1527" s="143" t="s">
        <v>107</v>
      </c>
      <c r="H1527" s="165">
        <v>4.0000000000000002E-4</v>
      </c>
      <c r="I1527" s="165">
        <v>1.2799999999999999E-4</v>
      </c>
      <c r="J1527" s="158">
        <v>6500000</v>
      </c>
      <c r="K1527" s="158">
        <f t="shared" si="289"/>
        <v>832</v>
      </c>
      <c r="L1527" s="158"/>
      <c r="M1527" s="158"/>
      <c r="N1527" s="158">
        <f t="shared" si="292"/>
        <v>832</v>
      </c>
      <c r="O1527" s="158"/>
      <c r="P1527" s="156"/>
    </row>
    <row r="1528" spans="1:17" s="16" customFormat="1" ht="24" x14ac:dyDescent="0.2">
      <c r="A1528" t="s">
        <v>1681</v>
      </c>
      <c r="B1528" t="s">
        <v>1401</v>
      </c>
      <c r="C1528" s="16" t="s">
        <v>1723</v>
      </c>
      <c r="D1528" s="142" t="s">
        <v>2073</v>
      </c>
      <c r="E1528" s="143" t="s">
        <v>2059</v>
      </c>
      <c r="F1528" s="164" t="s">
        <v>2060</v>
      </c>
      <c r="G1528" s="143" t="s">
        <v>107</v>
      </c>
      <c r="H1528" s="165">
        <v>0.23</v>
      </c>
      <c r="I1528" s="165">
        <v>7.3857999999999993E-2</v>
      </c>
      <c r="J1528" s="158">
        <v>450497</v>
      </c>
      <c r="K1528" s="158">
        <f t="shared" si="289"/>
        <v>33272.807425999999</v>
      </c>
      <c r="L1528" s="158"/>
      <c r="M1528" s="158"/>
      <c r="N1528" s="158">
        <f t="shared" si="292"/>
        <v>33272.807425999999</v>
      </c>
      <c r="O1528" s="158"/>
      <c r="P1528" s="156"/>
    </row>
    <row r="1529" spans="1:17" s="16" customFormat="1" x14ac:dyDescent="0.2">
      <c r="A1529" t="s">
        <v>1681</v>
      </c>
      <c r="B1529" t="s">
        <v>1401</v>
      </c>
      <c r="C1529" s="16" t="s">
        <v>1723</v>
      </c>
      <c r="D1529" s="142" t="s">
        <v>2074</v>
      </c>
      <c r="E1529" s="143" t="s">
        <v>2075</v>
      </c>
      <c r="F1529" s="164" t="s">
        <v>2076</v>
      </c>
      <c r="G1529" s="143" t="s">
        <v>107</v>
      </c>
      <c r="H1529" s="165">
        <v>0.04</v>
      </c>
      <c r="I1529" s="165">
        <v>1.2845000000000001E-2</v>
      </c>
      <c r="J1529" s="158">
        <v>11160714</v>
      </c>
      <c r="K1529" s="158">
        <f t="shared" si="289"/>
        <v>143359.37132999999</v>
      </c>
      <c r="L1529" s="158"/>
      <c r="M1529" s="158"/>
      <c r="N1529" s="158">
        <f t="shared" si="292"/>
        <v>143359.37132999999</v>
      </c>
      <c r="O1529" s="158"/>
      <c r="P1529" s="156"/>
    </row>
    <row r="1530" spans="1:17" s="16" customFormat="1" x14ac:dyDescent="0.2">
      <c r="A1530" t="s">
        <v>1681</v>
      </c>
      <c r="B1530" t="s">
        <v>1401</v>
      </c>
      <c r="C1530" s="16" t="s">
        <v>1723</v>
      </c>
      <c r="D1530" s="142" t="s">
        <v>2077</v>
      </c>
      <c r="E1530" s="143" t="s">
        <v>2062</v>
      </c>
      <c r="F1530" s="164" t="s">
        <v>2063</v>
      </c>
      <c r="G1530" s="143" t="s">
        <v>107</v>
      </c>
      <c r="H1530" s="165">
        <v>0.06</v>
      </c>
      <c r="I1530" s="165">
        <v>1.9266999999999999E-2</v>
      </c>
      <c r="J1530" s="158">
        <v>1976413</v>
      </c>
      <c r="K1530" s="158">
        <f t="shared" si="289"/>
        <v>38079.549270999996</v>
      </c>
      <c r="L1530" s="158"/>
      <c r="M1530" s="158"/>
      <c r="N1530" s="158">
        <f t="shared" si="292"/>
        <v>38079.549270999996</v>
      </c>
      <c r="O1530" s="158"/>
      <c r="P1530" s="156"/>
    </row>
    <row r="1531" spans="1:17" s="1" customFormat="1" ht="38.25" x14ac:dyDescent="0.2">
      <c r="A1531" t="s">
        <v>1681</v>
      </c>
      <c r="B1531" t="s">
        <v>1401</v>
      </c>
      <c r="C1531" s="1" t="s">
        <v>1683</v>
      </c>
      <c r="D1531" s="130" t="s">
        <v>1002</v>
      </c>
      <c r="E1531" s="131" t="s">
        <v>944</v>
      </c>
      <c r="F1531" s="131" t="s">
        <v>945</v>
      </c>
      <c r="G1531" s="132" t="s">
        <v>1733</v>
      </c>
      <c r="H1531" s="159">
        <v>1.635</v>
      </c>
      <c r="I1531" s="159"/>
      <c r="J1531" s="158"/>
      <c r="K1531" s="158"/>
      <c r="L1531" s="158"/>
      <c r="M1531" s="158"/>
      <c r="N1531" s="158"/>
      <c r="O1531" s="158"/>
      <c r="P1531" s="153"/>
      <c r="Q1531" s="35"/>
    </row>
    <row r="1532" spans="1:17" s="14" customFormat="1" x14ac:dyDescent="0.2">
      <c r="A1532" t="s">
        <v>1681</v>
      </c>
      <c r="B1532" t="s">
        <v>1401</v>
      </c>
      <c r="C1532" s="14" t="s">
        <v>24</v>
      </c>
      <c r="D1532" s="134" t="s">
        <v>1003</v>
      </c>
      <c r="E1532" s="135" t="s">
        <v>18</v>
      </c>
      <c r="F1532" s="160" t="s">
        <v>23</v>
      </c>
      <c r="G1532" s="135" t="s">
        <v>24</v>
      </c>
      <c r="H1532" s="158">
        <v>112.75</v>
      </c>
      <c r="I1532" s="158">
        <v>184.34620000000001</v>
      </c>
      <c r="J1532" s="158">
        <v>22914.53</v>
      </c>
      <c r="K1532" s="158">
        <f t="shared" ref="K1532:K1537" si="293">+J1532*I1532</f>
        <v>4224206.5302860001</v>
      </c>
      <c r="L1532" s="158">
        <f t="shared" ref="L1532:L1533" si="294">+J1532*I1532</f>
        <v>4224206.5302860001</v>
      </c>
      <c r="M1532" s="158"/>
      <c r="N1532" s="158"/>
      <c r="O1532" s="158"/>
      <c r="P1532" s="154"/>
    </row>
    <row r="1533" spans="1:17" s="16" customFormat="1" x14ac:dyDescent="0.2">
      <c r="A1533" t="s">
        <v>1681</v>
      </c>
      <c r="B1533" t="s">
        <v>1401</v>
      </c>
      <c r="C1533" s="14" t="s">
        <v>24</v>
      </c>
      <c r="D1533" s="134" t="s">
        <v>1004</v>
      </c>
      <c r="E1533" s="135" t="s">
        <v>52</v>
      </c>
      <c r="F1533" s="160" t="s">
        <v>1687</v>
      </c>
      <c r="G1533" s="135" t="s">
        <v>24</v>
      </c>
      <c r="H1533" s="158">
        <v>0.27</v>
      </c>
      <c r="I1533" s="158">
        <v>0.44145000000000001</v>
      </c>
      <c r="J1533" s="158"/>
      <c r="K1533" s="158">
        <f t="shared" si="293"/>
        <v>0</v>
      </c>
      <c r="L1533" s="158">
        <f t="shared" si="294"/>
        <v>0</v>
      </c>
      <c r="M1533" s="158"/>
      <c r="N1533" s="158"/>
      <c r="O1533" s="158"/>
      <c r="P1533" s="156"/>
    </row>
    <row r="1534" spans="1:17" s="15" customFormat="1" x14ac:dyDescent="0.2">
      <c r="A1534" t="s">
        <v>1681</v>
      </c>
      <c r="B1534" t="s">
        <v>1401</v>
      </c>
      <c r="C1534" s="124" t="s">
        <v>28</v>
      </c>
      <c r="D1534" s="138" t="s">
        <v>1005</v>
      </c>
      <c r="E1534" s="139" t="s">
        <v>1079</v>
      </c>
      <c r="F1534" s="161" t="s">
        <v>1080</v>
      </c>
      <c r="G1534" s="139" t="s">
        <v>28</v>
      </c>
      <c r="H1534" s="162">
        <v>0.2</v>
      </c>
      <c r="I1534" s="162">
        <v>0.32700000000000001</v>
      </c>
      <c r="J1534" s="158">
        <v>132706</v>
      </c>
      <c r="K1534" s="158">
        <f t="shared" si="293"/>
        <v>43394.862000000001</v>
      </c>
      <c r="L1534" s="158"/>
      <c r="M1534" s="158">
        <f t="shared" ref="M1534:M1535" si="295">+J1534*I1534</f>
        <v>43394.862000000001</v>
      </c>
      <c r="N1534" s="158"/>
      <c r="O1534" s="158"/>
      <c r="P1534" s="155"/>
    </row>
    <row r="1535" spans="1:17" s="15" customFormat="1" x14ac:dyDescent="0.2">
      <c r="A1535" t="s">
        <v>1681</v>
      </c>
      <c r="B1535" t="s">
        <v>1401</v>
      </c>
      <c r="C1535" s="124" t="s">
        <v>28</v>
      </c>
      <c r="D1535" s="138" t="s">
        <v>1006</v>
      </c>
      <c r="E1535" s="139" t="s">
        <v>30</v>
      </c>
      <c r="F1535" s="161" t="s">
        <v>31</v>
      </c>
      <c r="G1535" s="139" t="s">
        <v>28</v>
      </c>
      <c r="H1535" s="162">
        <v>7.0000000000000007E-2</v>
      </c>
      <c r="I1535" s="162">
        <v>0.11445</v>
      </c>
      <c r="J1535" s="158">
        <v>106655</v>
      </c>
      <c r="K1535" s="158">
        <f t="shared" si="293"/>
        <v>12206.66475</v>
      </c>
      <c r="L1535" s="158"/>
      <c r="M1535" s="158">
        <f t="shared" si="295"/>
        <v>12206.66475</v>
      </c>
      <c r="N1535" s="158"/>
      <c r="O1535" s="158"/>
      <c r="P1535" s="155"/>
    </row>
    <row r="1536" spans="1:17" s="16" customFormat="1" x14ac:dyDescent="0.2">
      <c r="A1536" t="s">
        <v>1681</v>
      </c>
      <c r="B1536" t="s">
        <v>1401</v>
      </c>
      <c r="C1536" s="16" t="s">
        <v>1723</v>
      </c>
      <c r="D1536" s="142" t="s">
        <v>2078</v>
      </c>
      <c r="E1536" s="143" t="s">
        <v>155</v>
      </c>
      <c r="F1536" s="164" t="s">
        <v>156</v>
      </c>
      <c r="G1536" s="143" t="s">
        <v>107</v>
      </c>
      <c r="H1536" s="165">
        <v>4.0000000000000001E-3</v>
      </c>
      <c r="I1536" s="165">
        <v>6.5399999999999998E-3</v>
      </c>
      <c r="J1536" s="158">
        <v>9500000</v>
      </c>
      <c r="K1536" s="158">
        <f t="shared" si="293"/>
        <v>62130</v>
      </c>
      <c r="L1536" s="158"/>
      <c r="M1536" s="158"/>
      <c r="N1536" s="158">
        <f t="shared" ref="N1536:N1537" si="296">+J1536*I1536</f>
        <v>62130</v>
      </c>
      <c r="O1536" s="158"/>
      <c r="P1536" s="156"/>
    </row>
    <row r="1537" spans="1:17" s="16" customFormat="1" x14ac:dyDescent="0.2">
      <c r="A1537" t="s">
        <v>1681</v>
      </c>
      <c r="B1537" t="s">
        <v>1401</v>
      </c>
      <c r="C1537" s="16" t="s">
        <v>1723</v>
      </c>
      <c r="D1537" s="142" t="s">
        <v>2079</v>
      </c>
      <c r="E1537" s="143" t="s">
        <v>950</v>
      </c>
      <c r="F1537" s="164" t="s">
        <v>951</v>
      </c>
      <c r="G1537" s="143" t="s">
        <v>107</v>
      </c>
      <c r="H1537" s="165">
        <v>1.2E-2</v>
      </c>
      <c r="I1537" s="165">
        <v>1.9619999999999999E-2</v>
      </c>
      <c r="J1537" s="158">
        <v>9500000</v>
      </c>
      <c r="K1537" s="158">
        <f t="shared" si="293"/>
        <v>186390</v>
      </c>
      <c r="L1537" s="158"/>
      <c r="M1537" s="158"/>
      <c r="N1537" s="158">
        <f t="shared" si="296"/>
        <v>186390</v>
      </c>
      <c r="O1537" s="158"/>
      <c r="P1537" s="156"/>
    </row>
    <row r="1538" spans="1:17" s="1" customFormat="1" x14ac:dyDescent="0.2">
      <c r="A1538" t="s">
        <v>1681</v>
      </c>
      <c r="B1538" t="s">
        <v>1401</v>
      </c>
      <c r="C1538" s="16" t="s">
        <v>1723</v>
      </c>
      <c r="D1538" s="130" t="s">
        <v>1007</v>
      </c>
      <c r="E1538" s="131" t="s">
        <v>1781</v>
      </c>
      <c r="F1538" s="131" t="s">
        <v>2080</v>
      </c>
      <c r="G1538" s="132" t="s">
        <v>38</v>
      </c>
      <c r="H1538" s="159">
        <v>163.5</v>
      </c>
      <c r="I1538" s="159">
        <f>+H1538</f>
        <v>163.5</v>
      </c>
      <c r="J1538" s="166">
        <v>75450</v>
      </c>
      <c r="K1538" s="166">
        <f>+J1538*I1538</f>
        <v>12336075</v>
      </c>
      <c r="L1538" s="158"/>
      <c r="M1538" s="158"/>
      <c r="N1538" s="166">
        <f>+J1538*I1538</f>
        <v>12336075</v>
      </c>
      <c r="O1538" s="158"/>
      <c r="P1538" s="153"/>
    </row>
    <row r="1539" spans="1:17" s="1" customFormat="1" ht="38.25" x14ac:dyDescent="0.2">
      <c r="A1539" t="s">
        <v>1681</v>
      </c>
      <c r="B1539" t="s">
        <v>1401</v>
      </c>
      <c r="C1539" s="1" t="s">
        <v>1683</v>
      </c>
      <c r="D1539" s="130" t="s">
        <v>1014</v>
      </c>
      <c r="E1539" s="131" t="s">
        <v>2081</v>
      </c>
      <c r="F1539" s="131" t="s">
        <v>2082</v>
      </c>
      <c r="G1539" s="132" t="s">
        <v>638</v>
      </c>
      <c r="H1539" s="159">
        <v>1.5</v>
      </c>
      <c r="I1539" s="159"/>
      <c r="J1539" s="158"/>
      <c r="K1539" s="158"/>
      <c r="L1539" s="158"/>
      <c r="M1539" s="158"/>
      <c r="N1539" s="158"/>
      <c r="O1539" s="158"/>
      <c r="P1539" s="153"/>
      <c r="Q1539" s="35"/>
    </row>
    <row r="1540" spans="1:17" s="14" customFormat="1" x14ac:dyDescent="0.2">
      <c r="A1540" t="s">
        <v>1681</v>
      </c>
      <c r="B1540" t="s">
        <v>1401</v>
      </c>
      <c r="C1540" s="14" t="s">
        <v>24</v>
      </c>
      <c r="D1540" s="134" t="s">
        <v>1017</v>
      </c>
      <c r="E1540" s="135" t="s">
        <v>18</v>
      </c>
      <c r="F1540" s="160" t="s">
        <v>23</v>
      </c>
      <c r="G1540" s="135" t="s">
        <v>24</v>
      </c>
      <c r="H1540" s="158">
        <v>38.4</v>
      </c>
      <c r="I1540" s="158">
        <v>57.6</v>
      </c>
      <c r="J1540" s="158">
        <v>22914.53</v>
      </c>
      <c r="K1540" s="158">
        <f t="shared" ref="K1540:K1544" si="297">+J1540*I1540</f>
        <v>1319876.9280000001</v>
      </c>
      <c r="L1540" s="158">
        <f t="shared" ref="L1540:L1541" si="298">+J1540*I1540</f>
        <v>1319876.9280000001</v>
      </c>
      <c r="M1540" s="158"/>
      <c r="N1540" s="158"/>
      <c r="O1540" s="158"/>
      <c r="P1540" s="154"/>
    </row>
    <row r="1541" spans="1:17" s="16" customFormat="1" x14ac:dyDescent="0.2">
      <c r="A1541" t="s">
        <v>1681</v>
      </c>
      <c r="B1541" t="s">
        <v>1401</v>
      </c>
      <c r="C1541" s="14" t="s">
        <v>24</v>
      </c>
      <c r="D1541" s="134" t="s">
        <v>1018</v>
      </c>
      <c r="E1541" s="135" t="s">
        <v>52</v>
      </c>
      <c r="F1541" s="160" t="s">
        <v>1687</v>
      </c>
      <c r="G1541" s="135" t="s">
        <v>24</v>
      </c>
      <c r="H1541" s="158">
        <v>0.54</v>
      </c>
      <c r="I1541" s="158">
        <v>0.81</v>
      </c>
      <c r="J1541" s="158"/>
      <c r="K1541" s="158">
        <f t="shared" si="297"/>
        <v>0</v>
      </c>
      <c r="L1541" s="158">
        <f t="shared" si="298"/>
        <v>0</v>
      </c>
      <c r="M1541" s="158"/>
      <c r="N1541" s="158"/>
      <c r="O1541" s="158"/>
      <c r="P1541" s="156"/>
    </row>
    <row r="1542" spans="1:17" s="15" customFormat="1" x14ac:dyDescent="0.2">
      <c r="A1542" t="s">
        <v>1681</v>
      </c>
      <c r="B1542" t="s">
        <v>1401</v>
      </c>
      <c r="C1542" s="124" t="s">
        <v>28</v>
      </c>
      <c r="D1542" s="138" t="s">
        <v>1019</v>
      </c>
      <c r="E1542" s="139" t="s">
        <v>30</v>
      </c>
      <c r="F1542" s="161" t="s">
        <v>31</v>
      </c>
      <c r="G1542" s="139" t="s">
        <v>28</v>
      </c>
      <c r="H1542" s="162">
        <v>0.54</v>
      </c>
      <c r="I1542" s="162">
        <v>0.81</v>
      </c>
      <c r="J1542" s="158">
        <v>106655</v>
      </c>
      <c r="K1542" s="158">
        <f t="shared" si="297"/>
        <v>86390.55</v>
      </c>
      <c r="L1542" s="158"/>
      <c r="M1542" s="158">
        <f>+J1542*I1542</f>
        <v>86390.55</v>
      </c>
      <c r="N1542" s="158"/>
      <c r="O1542" s="158"/>
      <c r="P1542" s="155"/>
    </row>
    <row r="1543" spans="1:17" s="16" customFormat="1" x14ac:dyDescent="0.2">
      <c r="A1543" t="s">
        <v>1681</v>
      </c>
      <c r="B1543" t="s">
        <v>1401</v>
      </c>
      <c r="C1543" s="16" t="s">
        <v>1723</v>
      </c>
      <c r="D1543" s="142" t="s">
        <v>1022</v>
      </c>
      <c r="E1543" s="143" t="s">
        <v>950</v>
      </c>
      <c r="F1543" s="164" t="s">
        <v>951</v>
      </c>
      <c r="G1543" s="143" t="s">
        <v>107</v>
      </c>
      <c r="H1543" s="165">
        <v>5.0000000000000001E-4</v>
      </c>
      <c r="I1543" s="165">
        <v>7.5000000000000002E-4</v>
      </c>
      <c r="J1543" s="158">
        <v>9500000</v>
      </c>
      <c r="K1543" s="158">
        <f t="shared" si="297"/>
        <v>7125</v>
      </c>
      <c r="L1543" s="158"/>
      <c r="M1543" s="158"/>
      <c r="N1543" s="158">
        <f t="shared" ref="N1543:N1544" si="299">+J1543*I1543</f>
        <v>7125</v>
      </c>
      <c r="O1543" s="158"/>
      <c r="P1543" s="156"/>
    </row>
    <row r="1544" spans="1:17" s="16" customFormat="1" x14ac:dyDescent="0.2">
      <c r="A1544" t="s">
        <v>1681</v>
      </c>
      <c r="B1544" t="s">
        <v>1401</v>
      </c>
      <c r="C1544" s="16" t="s">
        <v>1723</v>
      </c>
      <c r="D1544" s="142" t="s">
        <v>1023</v>
      </c>
      <c r="E1544" s="143" t="s">
        <v>2083</v>
      </c>
      <c r="F1544" s="164" t="s">
        <v>2084</v>
      </c>
      <c r="G1544" s="143" t="s">
        <v>69</v>
      </c>
      <c r="H1544" s="165">
        <v>116</v>
      </c>
      <c r="I1544" s="165">
        <v>174</v>
      </c>
      <c r="J1544" s="158">
        <v>20000</v>
      </c>
      <c r="K1544" s="158">
        <f t="shared" si="297"/>
        <v>3480000</v>
      </c>
      <c r="L1544" s="158"/>
      <c r="M1544" s="158"/>
      <c r="N1544" s="158">
        <f t="shared" si="299"/>
        <v>3480000</v>
      </c>
      <c r="O1544" s="158"/>
      <c r="P1544" s="156"/>
    </row>
    <row r="1545" spans="1:17" ht="15.75" x14ac:dyDescent="0.25">
      <c r="A1545" t="s">
        <v>1681</v>
      </c>
      <c r="B1545" t="s">
        <v>1401</v>
      </c>
      <c r="D1545" s="151" t="s">
        <v>2085</v>
      </c>
      <c r="E1545" s="128"/>
      <c r="F1545" s="163"/>
      <c r="G1545" s="128"/>
      <c r="H1545" s="128"/>
      <c r="I1545" s="128"/>
      <c r="J1545" s="158"/>
      <c r="K1545" s="158"/>
      <c r="L1545" s="158"/>
      <c r="M1545" s="158"/>
      <c r="N1545" s="158"/>
      <c r="O1545" s="158"/>
      <c r="P1545" s="152"/>
    </row>
    <row r="1546" spans="1:17" s="1" customFormat="1" ht="25.5" x14ac:dyDescent="0.2">
      <c r="A1546" t="s">
        <v>1681</v>
      </c>
      <c r="B1546" t="s">
        <v>1401</v>
      </c>
      <c r="C1546" s="1" t="s">
        <v>1683</v>
      </c>
      <c r="D1546" s="130" t="s">
        <v>1027</v>
      </c>
      <c r="E1546" s="131" t="s">
        <v>2086</v>
      </c>
      <c r="F1546" s="131" t="s">
        <v>2087</v>
      </c>
      <c r="G1546" s="132" t="s">
        <v>2088</v>
      </c>
      <c r="H1546" s="159">
        <v>4</v>
      </c>
      <c r="I1546" s="159"/>
      <c r="J1546" s="158"/>
      <c r="K1546" s="158"/>
      <c r="L1546" s="158"/>
      <c r="M1546" s="158"/>
      <c r="N1546" s="158"/>
      <c r="O1546" s="158"/>
      <c r="P1546" s="153"/>
      <c r="Q1546" s="35"/>
    </row>
    <row r="1547" spans="1:17" s="14" customFormat="1" x14ac:dyDescent="0.2">
      <c r="A1547" t="s">
        <v>1681</v>
      </c>
      <c r="B1547" t="s">
        <v>1401</v>
      </c>
      <c r="C1547" s="14" t="s">
        <v>24</v>
      </c>
      <c r="D1547" s="134" t="s">
        <v>1030</v>
      </c>
      <c r="E1547" s="135" t="s">
        <v>18</v>
      </c>
      <c r="F1547" s="160" t="s">
        <v>23</v>
      </c>
      <c r="G1547" s="135" t="s">
        <v>24</v>
      </c>
      <c r="H1547" s="158">
        <v>6.63</v>
      </c>
      <c r="I1547" s="158">
        <v>26.52</v>
      </c>
      <c r="J1547" s="158">
        <v>22914.53</v>
      </c>
      <c r="K1547" s="158">
        <f t="shared" ref="K1547:K1556" si="300">+J1547*I1547</f>
        <v>607693.33559999999</v>
      </c>
      <c r="L1547" s="158">
        <f t="shared" ref="L1547:L1548" si="301">+J1547*I1547</f>
        <v>607693.33559999999</v>
      </c>
      <c r="M1547" s="158"/>
      <c r="N1547" s="158"/>
      <c r="O1547" s="158"/>
      <c r="P1547" s="154"/>
    </row>
    <row r="1548" spans="1:17" s="16" customFormat="1" x14ac:dyDescent="0.2">
      <c r="A1548" t="s">
        <v>1681</v>
      </c>
      <c r="B1548" t="s">
        <v>1401</v>
      </c>
      <c r="C1548" s="14" t="s">
        <v>24</v>
      </c>
      <c r="D1548" s="134" t="s">
        <v>1031</v>
      </c>
      <c r="E1548" s="135" t="s">
        <v>52</v>
      </c>
      <c r="F1548" s="160" t="s">
        <v>1687</v>
      </c>
      <c r="G1548" s="135" t="s">
        <v>24</v>
      </c>
      <c r="H1548" s="158">
        <v>0.22</v>
      </c>
      <c r="I1548" s="158">
        <v>0.88</v>
      </c>
      <c r="J1548" s="158"/>
      <c r="K1548" s="158">
        <f t="shared" si="300"/>
        <v>0</v>
      </c>
      <c r="L1548" s="158">
        <f t="shared" si="301"/>
        <v>0</v>
      </c>
      <c r="M1548" s="158"/>
      <c r="N1548" s="158"/>
      <c r="O1548" s="158"/>
      <c r="P1548" s="156"/>
    </row>
    <row r="1549" spans="1:17" s="15" customFormat="1" ht="24" x14ac:dyDescent="0.2">
      <c r="A1549" t="s">
        <v>1681</v>
      </c>
      <c r="B1549" t="s">
        <v>1401</v>
      </c>
      <c r="C1549" s="124" t="s">
        <v>28</v>
      </c>
      <c r="D1549" s="138" t="s">
        <v>1032</v>
      </c>
      <c r="E1549" s="139" t="s">
        <v>876</v>
      </c>
      <c r="F1549" s="161" t="s">
        <v>877</v>
      </c>
      <c r="G1549" s="139" t="s">
        <v>28</v>
      </c>
      <c r="H1549" s="162">
        <v>0.11</v>
      </c>
      <c r="I1549" s="162">
        <v>0.44</v>
      </c>
      <c r="J1549" s="158">
        <v>239461</v>
      </c>
      <c r="K1549" s="158">
        <f t="shared" si="300"/>
        <v>105362.84</v>
      </c>
      <c r="L1549" s="158"/>
      <c r="M1549" s="158">
        <f t="shared" ref="M1549:M1551" si="302">+J1549*I1549</f>
        <v>105362.84</v>
      </c>
      <c r="N1549" s="158"/>
      <c r="O1549" s="158"/>
      <c r="P1549" s="155"/>
    </row>
    <row r="1550" spans="1:17" s="15" customFormat="1" x14ac:dyDescent="0.2">
      <c r="A1550" t="s">
        <v>1681</v>
      </c>
      <c r="B1550" t="s">
        <v>1401</v>
      </c>
      <c r="C1550" s="124" t="s">
        <v>28</v>
      </c>
      <c r="D1550" s="138" t="s">
        <v>1033</v>
      </c>
      <c r="E1550" s="139" t="s">
        <v>964</v>
      </c>
      <c r="F1550" s="161" t="s">
        <v>965</v>
      </c>
      <c r="G1550" s="139" t="s">
        <v>28</v>
      </c>
      <c r="H1550" s="162">
        <v>0.16</v>
      </c>
      <c r="I1550" s="162">
        <v>0.64</v>
      </c>
      <c r="J1550" s="158">
        <v>1349</v>
      </c>
      <c r="K1550" s="158">
        <f t="shared" si="300"/>
        <v>863.36</v>
      </c>
      <c r="L1550" s="158"/>
      <c r="M1550" s="158">
        <f t="shared" si="302"/>
        <v>863.36</v>
      </c>
      <c r="N1550" s="158"/>
      <c r="O1550" s="158"/>
      <c r="P1550" s="155"/>
    </row>
    <row r="1551" spans="1:17" s="15" customFormat="1" x14ac:dyDescent="0.2">
      <c r="A1551" t="s">
        <v>1681</v>
      </c>
      <c r="B1551" t="s">
        <v>1401</v>
      </c>
      <c r="C1551" s="124" t="s">
        <v>28</v>
      </c>
      <c r="D1551" s="138" t="s">
        <v>2089</v>
      </c>
      <c r="E1551" s="139" t="s">
        <v>30</v>
      </c>
      <c r="F1551" s="161" t="s">
        <v>31</v>
      </c>
      <c r="G1551" s="139" t="s">
        <v>28</v>
      </c>
      <c r="H1551" s="162">
        <v>0.11</v>
      </c>
      <c r="I1551" s="162">
        <v>0.44</v>
      </c>
      <c r="J1551" s="158">
        <v>106655</v>
      </c>
      <c r="K1551" s="158">
        <f t="shared" si="300"/>
        <v>46928.2</v>
      </c>
      <c r="L1551" s="158"/>
      <c r="M1551" s="158">
        <f t="shared" si="302"/>
        <v>46928.2</v>
      </c>
      <c r="N1551" s="158"/>
      <c r="O1551" s="158"/>
      <c r="P1551" s="155"/>
    </row>
    <row r="1552" spans="1:17" s="16" customFormat="1" x14ac:dyDescent="0.2">
      <c r="A1552" t="s">
        <v>1681</v>
      </c>
      <c r="B1552" t="s">
        <v>1401</v>
      </c>
      <c r="C1552" s="16" t="s">
        <v>1723</v>
      </c>
      <c r="D1552" s="142" t="s">
        <v>2090</v>
      </c>
      <c r="E1552" s="143" t="s">
        <v>124</v>
      </c>
      <c r="F1552" s="164" t="s">
        <v>125</v>
      </c>
      <c r="G1552" s="143" t="s">
        <v>107</v>
      </c>
      <c r="H1552" s="165">
        <v>1.4E-3</v>
      </c>
      <c r="I1552" s="165">
        <v>5.5999999999999999E-3</v>
      </c>
      <c r="J1552" s="158">
        <v>9500000</v>
      </c>
      <c r="K1552" s="158">
        <f t="shared" si="300"/>
        <v>53200</v>
      </c>
      <c r="L1552" s="158"/>
      <c r="M1552" s="158"/>
      <c r="N1552" s="158">
        <f t="shared" ref="N1552:N1556" si="303">+J1552*I1552</f>
        <v>53200</v>
      </c>
      <c r="O1552" s="158"/>
      <c r="P1552" s="156"/>
    </row>
    <row r="1553" spans="1:17" s="1" customFormat="1" x14ac:dyDescent="0.2">
      <c r="A1553" t="s">
        <v>1681</v>
      </c>
      <c r="B1553" t="s">
        <v>1401</v>
      </c>
      <c r="C1553" s="16" t="s">
        <v>1723</v>
      </c>
      <c r="D1553" s="130" t="s">
        <v>1034</v>
      </c>
      <c r="E1553" s="131" t="s">
        <v>1781</v>
      </c>
      <c r="F1553" s="131" t="s">
        <v>2091</v>
      </c>
      <c r="G1553" s="132" t="s">
        <v>420</v>
      </c>
      <c r="H1553" s="159">
        <v>0.27200000000000002</v>
      </c>
      <c r="I1553" s="159">
        <f t="shared" ref="I1553:I1556" si="304">+H1553</f>
        <v>0.27200000000000002</v>
      </c>
      <c r="J1553" s="166">
        <v>4017143</v>
      </c>
      <c r="K1553" s="166">
        <f t="shared" si="300"/>
        <v>1092662.8960000002</v>
      </c>
      <c r="L1553" s="158"/>
      <c r="M1553" s="158"/>
      <c r="N1553" s="166">
        <f t="shared" si="303"/>
        <v>1092662.8960000002</v>
      </c>
      <c r="O1553" s="158"/>
      <c r="P1553" s="153"/>
    </row>
    <row r="1554" spans="1:17" s="1" customFormat="1" x14ac:dyDescent="0.2">
      <c r="A1554" t="s">
        <v>1681</v>
      </c>
      <c r="B1554" t="s">
        <v>1401</v>
      </c>
      <c r="C1554" s="16" t="s">
        <v>1723</v>
      </c>
      <c r="D1554" s="130" t="s">
        <v>1037</v>
      </c>
      <c r="E1554" s="131" t="s">
        <v>1781</v>
      </c>
      <c r="F1554" s="131" t="s">
        <v>2092</v>
      </c>
      <c r="G1554" s="132" t="s">
        <v>420</v>
      </c>
      <c r="H1554" s="159">
        <v>0.17199999999999999</v>
      </c>
      <c r="I1554" s="159">
        <f t="shared" si="304"/>
        <v>0.17199999999999999</v>
      </c>
      <c r="J1554" s="166">
        <v>4017143</v>
      </c>
      <c r="K1554" s="166">
        <f t="shared" si="300"/>
        <v>690948.5959999999</v>
      </c>
      <c r="L1554" s="158"/>
      <c r="M1554" s="158"/>
      <c r="N1554" s="166">
        <f t="shared" si="303"/>
        <v>690948.5959999999</v>
      </c>
      <c r="O1554" s="158"/>
      <c r="P1554" s="153"/>
    </row>
    <row r="1555" spans="1:17" s="1" customFormat="1" x14ac:dyDescent="0.2">
      <c r="A1555" t="s">
        <v>1681</v>
      </c>
      <c r="B1555" t="s">
        <v>1401</v>
      </c>
      <c r="C1555" s="16" t="s">
        <v>1723</v>
      </c>
      <c r="D1555" s="130" t="s">
        <v>1042</v>
      </c>
      <c r="E1555" s="131" t="s">
        <v>1781</v>
      </c>
      <c r="F1555" s="131" t="s">
        <v>2093</v>
      </c>
      <c r="G1555" s="132" t="s">
        <v>420</v>
      </c>
      <c r="H1555" s="159">
        <v>0.112</v>
      </c>
      <c r="I1555" s="159">
        <f t="shared" si="304"/>
        <v>0.112</v>
      </c>
      <c r="J1555" s="166">
        <v>4017143</v>
      </c>
      <c r="K1555" s="166">
        <f t="shared" si="300"/>
        <v>449920.016</v>
      </c>
      <c r="L1555" s="158"/>
      <c r="M1555" s="158"/>
      <c r="N1555" s="166">
        <f t="shared" si="303"/>
        <v>449920.016</v>
      </c>
      <c r="O1555" s="158"/>
      <c r="P1555" s="153"/>
    </row>
    <row r="1556" spans="1:17" s="1" customFormat="1" x14ac:dyDescent="0.2">
      <c r="A1556" t="s">
        <v>1681</v>
      </c>
      <c r="B1556" t="s">
        <v>1401</v>
      </c>
      <c r="C1556" s="16" t="s">
        <v>1723</v>
      </c>
      <c r="D1556" s="130" t="s">
        <v>1045</v>
      </c>
      <c r="E1556" s="131" t="s">
        <v>1781</v>
      </c>
      <c r="F1556" s="131" t="s">
        <v>2094</v>
      </c>
      <c r="G1556" s="132" t="s">
        <v>420</v>
      </c>
      <c r="H1556" s="159">
        <v>0.06</v>
      </c>
      <c r="I1556" s="159">
        <f t="shared" si="304"/>
        <v>0.06</v>
      </c>
      <c r="J1556" s="166">
        <v>4017143</v>
      </c>
      <c r="K1556" s="166">
        <f t="shared" si="300"/>
        <v>241028.58</v>
      </c>
      <c r="L1556" s="158"/>
      <c r="M1556" s="158"/>
      <c r="N1556" s="166">
        <f t="shared" si="303"/>
        <v>241028.58</v>
      </c>
      <c r="O1556" s="158"/>
      <c r="P1556" s="153"/>
    </row>
    <row r="1557" spans="1:17" ht="15.75" x14ac:dyDescent="0.25">
      <c r="A1557" t="s">
        <v>1681</v>
      </c>
      <c r="B1557" t="s">
        <v>1401</v>
      </c>
      <c r="D1557" s="151" t="s">
        <v>2095</v>
      </c>
      <c r="E1557" s="128"/>
      <c r="F1557" s="163"/>
      <c r="G1557" s="128"/>
      <c r="H1557" s="128"/>
      <c r="I1557" s="128"/>
      <c r="J1557" s="158"/>
      <c r="K1557" s="158"/>
      <c r="L1557" s="158"/>
      <c r="M1557" s="158"/>
      <c r="N1557" s="158"/>
      <c r="O1557" s="158"/>
      <c r="P1557" s="152"/>
    </row>
    <row r="1558" spans="1:17" s="1" customFormat="1" ht="25.5" x14ac:dyDescent="0.2">
      <c r="A1558" t="s">
        <v>1681</v>
      </c>
      <c r="B1558" t="s">
        <v>1401</v>
      </c>
      <c r="C1558" s="1" t="s">
        <v>1683</v>
      </c>
      <c r="D1558" s="130" t="s">
        <v>1054</v>
      </c>
      <c r="E1558" s="131" t="s">
        <v>2096</v>
      </c>
      <c r="F1558" s="131" t="s">
        <v>2097</v>
      </c>
      <c r="G1558" s="132" t="s">
        <v>107</v>
      </c>
      <c r="H1558" s="159">
        <v>1.5699999999999999E-2</v>
      </c>
      <c r="I1558" s="159"/>
      <c r="J1558" s="158"/>
      <c r="K1558" s="158"/>
      <c r="L1558" s="158"/>
      <c r="M1558" s="158"/>
      <c r="N1558" s="158"/>
      <c r="O1558" s="158"/>
      <c r="P1558" s="153"/>
      <c r="Q1558" s="35"/>
    </row>
    <row r="1559" spans="1:17" s="14" customFormat="1" x14ac:dyDescent="0.2">
      <c r="A1559" t="s">
        <v>1681</v>
      </c>
      <c r="B1559" t="s">
        <v>1401</v>
      </c>
      <c r="C1559" s="14" t="s">
        <v>24</v>
      </c>
      <c r="D1559" s="134" t="s">
        <v>1055</v>
      </c>
      <c r="E1559" s="135" t="s">
        <v>18</v>
      </c>
      <c r="F1559" s="160" t="s">
        <v>23</v>
      </c>
      <c r="G1559" s="135" t="s">
        <v>24</v>
      </c>
      <c r="H1559" s="158">
        <v>32.369999999999997</v>
      </c>
      <c r="I1559" s="158">
        <v>0.50820900000000002</v>
      </c>
      <c r="J1559" s="158">
        <v>22914.53</v>
      </c>
      <c r="K1559" s="158">
        <f t="shared" ref="K1559:K1583" si="305">+J1559*I1559</f>
        <v>11645.370376770001</v>
      </c>
      <c r="L1559" s="158">
        <f t="shared" ref="L1559:L1560" si="306">+J1559*I1559</f>
        <v>11645.370376770001</v>
      </c>
      <c r="M1559" s="158"/>
      <c r="N1559" s="158"/>
      <c r="O1559" s="158"/>
      <c r="P1559" s="154"/>
    </row>
    <row r="1560" spans="1:17" s="16" customFormat="1" x14ac:dyDescent="0.2">
      <c r="A1560" t="s">
        <v>1681</v>
      </c>
      <c r="B1560" t="s">
        <v>1401</v>
      </c>
      <c r="C1560" s="14" t="s">
        <v>24</v>
      </c>
      <c r="D1560" s="134" t="s">
        <v>1056</v>
      </c>
      <c r="E1560" s="135" t="s">
        <v>52</v>
      </c>
      <c r="F1560" s="160" t="s">
        <v>1687</v>
      </c>
      <c r="G1560" s="135" t="s">
        <v>24</v>
      </c>
      <c r="H1560" s="158">
        <v>5.83</v>
      </c>
      <c r="I1560" s="158">
        <v>9.1531000000000001E-2</v>
      </c>
      <c r="J1560" s="158"/>
      <c r="K1560" s="158">
        <f t="shared" si="305"/>
        <v>0</v>
      </c>
      <c r="L1560" s="158">
        <f t="shared" si="306"/>
        <v>0</v>
      </c>
      <c r="M1560" s="158"/>
      <c r="N1560" s="158"/>
      <c r="O1560" s="158"/>
      <c r="P1560" s="156"/>
    </row>
    <row r="1561" spans="1:17" s="15" customFormat="1" x14ac:dyDescent="0.2">
      <c r="A1561" t="s">
        <v>1681</v>
      </c>
      <c r="B1561" t="s">
        <v>1401</v>
      </c>
      <c r="C1561" s="124" t="s">
        <v>28</v>
      </c>
      <c r="D1561" s="138" t="s">
        <v>1057</v>
      </c>
      <c r="E1561" s="139" t="s">
        <v>2098</v>
      </c>
      <c r="F1561" s="161" t="s">
        <v>2099</v>
      </c>
      <c r="G1561" s="139" t="s">
        <v>28</v>
      </c>
      <c r="H1561" s="162">
        <v>0.96</v>
      </c>
      <c r="I1561" s="162">
        <v>1.5072E-2</v>
      </c>
      <c r="J1561" s="158">
        <v>12525</v>
      </c>
      <c r="K1561" s="158">
        <f t="shared" si="305"/>
        <v>188.77680000000001</v>
      </c>
      <c r="L1561" s="158"/>
      <c r="M1561" s="158">
        <f t="shared" ref="M1561:M1569" si="307">+J1561*I1561</f>
        <v>188.77680000000001</v>
      </c>
      <c r="N1561" s="158"/>
      <c r="O1561" s="158"/>
      <c r="P1561" s="155"/>
    </row>
    <row r="1562" spans="1:17" s="15" customFormat="1" ht="24" x14ac:dyDescent="0.2">
      <c r="A1562" t="s">
        <v>1681</v>
      </c>
      <c r="B1562" t="s">
        <v>1401</v>
      </c>
      <c r="C1562" s="124" t="s">
        <v>28</v>
      </c>
      <c r="D1562" s="138" t="s">
        <v>1058</v>
      </c>
      <c r="E1562" s="139" t="s">
        <v>2100</v>
      </c>
      <c r="F1562" s="161" t="s">
        <v>2101</v>
      </c>
      <c r="G1562" s="139" t="s">
        <v>28</v>
      </c>
      <c r="H1562" s="162">
        <v>7.0000000000000007E-2</v>
      </c>
      <c r="I1562" s="162">
        <v>1.0989999999999999E-3</v>
      </c>
      <c r="J1562" s="158">
        <v>0</v>
      </c>
      <c r="K1562" s="158">
        <f t="shared" si="305"/>
        <v>0</v>
      </c>
      <c r="L1562" s="158"/>
      <c r="M1562" s="158">
        <f t="shared" si="307"/>
        <v>0</v>
      </c>
      <c r="N1562" s="158"/>
      <c r="O1562" s="158"/>
      <c r="P1562" s="155"/>
    </row>
    <row r="1563" spans="1:17" s="15" customFormat="1" ht="24" x14ac:dyDescent="0.2">
      <c r="A1563" t="s">
        <v>1681</v>
      </c>
      <c r="B1563" t="s">
        <v>1401</v>
      </c>
      <c r="C1563" s="124" t="s">
        <v>28</v>
      </c>
      <c r="D1563" s="138" t="s">
        <v>1059</v>
      </c>
      <c r="E1563" s="139" t="s">
        <v>876</v>
      </c>
      <c r="F1563" s="161" t="s">
        <v>877</v>
      </c>
      <c r="G1563" s="139" t="s">
        <v>28</v>
      </c>
      <c r="H1563" s="162">
        <v>0.12</v>
      </c>
      <c r="I1563" s="162">
        <v>1.884E-3</v>
      </c>
      <c r="J1563" s="158">
        <v>239461</v>
      </c>
      <c r="K1563" s="158">
        <f t="shared" si="305"/>
        <v>451.14452399999999</v>
      </c>
      <c r="L1563" s="158"/>
      <c r="M1563" s="158">
        <f t="shared" si="307"/>
        <v>451.14452399999999</v>
      </c>
      <c r="N1563" s="158"/>
      <c r="O1563" s="158"/>
      <c r="P1563" s="155"/>
    </row>
    <row r="1564" spans="1:17" s="15" customFormat="1" ht="24" x14ac:dyDescent="0.2">
      <c r="A1564" t="s">
        <v>1681</v>
      </c>
      <c r="B1564" t="s">
        <v>1401</v>
      </c>
      <c r="C1564" s="124" t="s">
        <v>28</v>
      </c>
      <c r="D1564" s="138" t="s">
        <v>1060</v>
      </c>
      <c r="E1564" s="139" t="s">
        <v>2102</v>
      </c>
      <c r="F1564" s="161" t="s">
        <v>2103</v>
      </c>
      <c r="G1564" s="139" t="s">
        <v>28</v>
      </c>
      <c r="H1564" s="162">
        <v>5.45</v>
      </c>
      <c r="I1564" s="162">
        <v>8.5565000000000002E-2</v>
      </c>
      <c r="J1564" s="158">
        <v>0</v>
      </c>
      <c r="K1564" s="158">
        <f t="shared" si="305"/>
        <v>0</v>
      </c>
      <c r="L1564" s="158"/>
      <c r="M1564" s="158">
        <f t="shared" si="307"/>
        <v>0</v>
      </c>
      <c r="N1564" s="158"/>
      <c r="O1564" s="158"/>
      <c r="P1564" s="155"/>
    </row>
    <row r="1565" spans="1:17" s="15" customFormat="1" x14ac:dyDescent="0.2">
      <c r="A1565" t="s">
        <v>1681</v>
      </c>
      <c r="B1565" t="s">
        <v>1401</v>
      </c>
      <c r="C1565" s="124" t="s">
        <v>28</v>
      </c>
      <c r="D1565" s="138" t="s">
        <v>2104</v>
      </c>
      <c r="E1565" s="139" t="s">
        <v>95</v>
      </c>
      <c r="F1565" s="161" t="s">
        <v>96</v>
      </c>
      <c r="G1565" s="139" t="s">
        <v>28</v>
      </c>
      <c r="H1565" s="162">
        <v>0.28999999999999998</v>
      </c>
      <c r="I1565" s="162">
        <v>4.5529999999999998E-3</v>
      </c>
      <c r="J1565" s="158">
        <v>1954</v>
      </c>
      <c r="K1565" s="158">
        <f t="shared" si="305"/>
        <v>8.8965619999999994</v>
      </c>
      <c r="L1565" s="158"/>
      <c r="M1565" s="158">
        <f t="shared" si="307"/>
        <v>8.8965619999999994</v>
      </c>
      <c r="N1565" s="158"/>
      <c r="O1565" s="158"/>
      <c r="P1565" s="155"/>
    </row>
    <row r="1566" spans="1:17" s="15" customFormat="1" ht="24" x14ac:dyDescent="0.2">
      <c r="A1566" t="s">
        <v>1681</v>
      </c>
      <c r="B1566" t="s">
        <v>1401</v>
      </c>
      <c r="C1566" s="124" t="s">
        <v>28</v>
      </c>
      <c r="D1566" s="138" t="s">
        <v>2105</v>
      </c>
      <c r="E1566" s="139" t="s">
        <v>683</v>
      </c>
      <c r="F1566" s="161" t="s">
        <v>684</v>
      </c>
      <c r="G1566" s="139" t="s">
        <v>28</v>
      </c>
      <c r="H1566" s="162">
        <v>9.6199999999999992</v>
      </c>
      <c r="I1566" s="162">
        <v>0.151034</v>
      </c>
      <c r="J1566" s="158">
        <v>16353</v>
      </c>
      <c r="K1566" s="158">
        <f t="shared" si="305"/>
        <v>2469.8590020000001</v>
      </c>
      <c r="L1566" s="158"/>
      <c r="M1566" s="158">
        <f t="shared" si="307"/>
        <v>2469.8590020000001</v>
      </c>
      <c r="N1566" s="158"/>
      <c r="O1566" s="158"/>
      <c r="P1566" s="155"/>
    </row>
    <row r="1567" spans="1:17" s="15" customFormat="1" ht="24" x14ac:dyDescent="0.2">
      <c r="A1567" t="s">
        <v>1681</v>
      </c>
      <c r="B1567" t="s">
        <v>1401</v>
      </c>
      <c r="C1567" s="124" t="s">
        <v>28</v>
      </c>
      <c r="D1567" s="138" t="s">
        <v>2106</v>
      </c>
      <c r="E1567" s="139" t="s">
        <v>2107</v>
      </c>
      <c r="F1567" s="161" t="s">
        <v>2108</v>
      </c>
      <c r="G1567" s="139" t="s">
        <v>28</v>
      </c>
      <c r="H1567" s="162">
        <v>0.39</v>
      </c>
      <c r="I1567" s="162">
        <v>6.123E-3</v>
      </c>
      <c r="J1567" s="158">
        <v>3663</v>
      </c>
      <c r="K1567" s="158">
        <f t="shared" si="305"/>
        <v>22.428549</v>
      </c>
      <c r="L1567" s="158"/>
      <c r="M1567" s="158">
        <f t="shared" si="307"/>
        <v>22.428549</v>
      </c>
      <c r="N1567" s="158"/>
      <c r="O1567" s="158"/>
      <c r="P1567" s="155"/>
    </row>
    <row r="1568" spans="1:17" s="15" customFormat="1" x14ac:dyDescent="0.2">
      <c r="A1568" t="s">
        <v>1681</v>
      </c>
      <c r="B1568" t="s">
        <v>1401</v>
      </c>
      <c r="C1568" s="124" t="s">
        <v>28</v>
      </c>
      <c r="D1568" s="138" t="s">
        <v>2109</v>
      </c>
      <c r="E1568" s="139" t="s">
        <v>30</v>
      </c>
      <c r="F1568" s="161" t="s">
        <v>31</v>
      </c>
      <c r="G1568" s="139" t="s">
        <v>28</v>
      </c>
      <c r="H1568" s="162">
        <v>0.19</v>
      </c>
      <c r="I1568" s="162">
        <v>2.983E-3</v>
      </c>
      <c r="J1568" s="158">
        <v>106655</v>
      </c>
      <c r="K1568" s="158">
        <f t="shared" si="305"/>
        <v>318.15186499999999</v>
      </c>
      <c r="L1568" s="158"/>
      <c r="M1568" s="158">
        <f t="shared" si="307"/>
        <v>318.15186499999999</v>
      </c>
      <c r="N1568" s="158"/>
      <c r="O1568" s="158"/>
      <c r="P1568" s="155"/>
    </row>
    <row r="1569" spans="1:17" s="15" customFormat="1" x14ac:dyDescent="0.2">
      <c r="A1569" t="s">
        <v>1681</v>
      </c>
      <c r="B1569" t="s">
        <v>1401</v>
      </c>
      <c r="C1569" s="124" t="s">
        <v>28</v>
      </c>
      <c r="D1569" s="138" t="s">
        <v>2110</v>
      </c>
      <c r="E1569" s="139" t="s">
        <v>687</v>
      </c>
      <c r="F1569" s="161" t="s">
        <v>688</v>
      </c>
      <c r="G1569" s="139" t="s">
        <v>28</v>
      </c>
      <c r="H1569" s="162">
        <v>1.68</v>
      </c>
      <c r="I1569" s="162">
        <v>2.6376E-2</v>
      </c>
      <c r="J1569" s="158">
        <v>1586</v>
      </c>
      <c r="K1569" s="158">
        <f t="shared" si="305"/>
        <v>41.832335999999998</v>
      </c>
      <c r="L1569" s="158"/>
      <c r="M1569" s="158">
        <f t="shared" si="307"/>
        <v>41.832335999999998</v>
      </c>
      <c r="N1569" s="158"/>
      <c r="O1569" s="158"/>
      <c r="P1569" s="155"/>
    </row>
    <row r="1570" spans="1:17" s="16" customFormat="1" x14ac:dyDescent="0.2">
      <c r="A1570" t="s">
        <v>1681</v>
      </c>
      <c r="B1570" t="s">
        <v>1401</v>
      </c>
      <c r="C1570" s="16" t="s">
        <v>1723</v>
      </c>
      <c r="D1570" s="142" t="s">
        <v>2111</v>
      </c>
      <c r="E1570" s="143" t="s">
        <v>124</v>
      </c>
      <c r="F1570" s="164" t="s">
        <v>125</v>
      </c>
      <c r="G1570" s="143" t="s">
        <v>107</v>
      </c>
      <c r="H1570" s="165">
        <v>1.0000000000000001E-5</v>
      </c>
      <c r="I1570" s="165">
        <v>0</v>
      </c>
      <c r="J1570" s="158">
        <v>9500000</v>
      </c>
      <c r="K1570" s="158">
        <f t="shared" si="305"/>
        <v>0</v>
      </c>
      <c r="L1570" s="158"/>
      <c r="M1570" s="158"/>
      <c r="N1570" s="158">
        <f t="shared" ref="N1570:N1583" si="308">+J1570*I1570</f>
        <v>0</v>
      </c>
      <c r="O1570" s="158"/>
      <c r="P1570" s="156"/>
    </row>
    <row r="1571" spans="1:17" s="16" customFormat="1" x14ac:dyDescent="0.2">
      <c r="A1571" t="s">
        <v>1681</v>
      </c>
      <c r="B1571" t="s">
        <v>1401</v>
      </c>
      <c r="C1571" s="16" t="s">
        <v>1723</v>
      </c>
      <c r="D1571" s="142" t="s">
        <v>2112</v>
      </c>
      <c r="E1571" s="143" t="s">
        <v>911</v>
      </c>
      <c r="F1571" s="164" t="s">
        <v>912</v>
      </c>
      <c r="G1571" s="143" t="s">
        <v>107</v>
      </c>
      <c r="H1571" s="165">
        <v>3.1E-4</v>
      </c>
      <c r="I1571" s="165">
        <v>5.0000000000000004E-6</v>
      </c>
      <c r="J1571" s="158">
        <v>18482000</v>
      </c>
      <c r="K1571" s="158">
        <f t="shared" si="305"/>
        <v>92.410000000000011</v>
      </c>
      <c r="L1571" s="158"/>
      <c r="M1571" s="158"/>
      <c r="N1571" s="158">
        <f t="shared" si="308"/>
        <v>92.410000000000011</v>
      </c>
      <c r="O1571" s="158"/>
      <c r="P1571" s="156"/>
    </row>
    <row r="1572" spans="1:17" s="16" customFormat="1" x14ac:dyDescent="0.2">
      <c r="A1572" t="s">
        <v>1681</v>
      </c>
      <c r="B1572" t="s">
        <v>1401</v>
      </c>
      <c r="C1572" s="16" t="s">
        <v>1723</v>
      </c>
      <c r="D1572" s="142" t="s">
        <v>2113</v>
      </c>
      <c r="E1572" s="143" t="s">
        <v>1182</v>
      </c>
      <c r="F1572" s="164" t="s">
        <v>1183</v>
      </c>
      <c r="G1572" s="143" t="s">
        <v>107</v>
      </c>
      <c r="H1572" s="165">
        <v>5.9999999999999995E-4</v>
      </c>
      <c r="I1572" s="165">
        <v>9.0000000000000002E-6</v>
      </c>
      <c r="J1572" s="158">
        <v>14286000</v>
      </c>
      <c r="K1572" s="158">
        <f t="shared" si="305"/>
        <v>128.57400000000001</v>
      </c>
      <c r="L1572" s="158"/>
      <c r="M1572" s="158"/>
      <c r="N1572" s="158">
        <f t="shared" si="308"/>
        <v>128.57400000000001</v>
      </c>
      <c r="O1572" s="158"/>
      <c r="P1572" s="156"/>
    </row>
    <row r="1573" spans="1:17" s="16" customFormat="1" x14ac:dyDescent="0.2">
      <c r="A1573" t="s">
        <v>1681</v>
      </c>
      <c r="B1573" t="s">
        <v>1401</v>
      </c>
      <c r="C1573" s="16" t="s">
        <v>1723</v>
      </c>
      <c r="D1573" s="142" t="s">
        <v>2114</v>
      </c>
      <c r="E1573" s="143" t="s">
        <v>1185</v>
      </c>
      <c r="F1573" s="164" t="s">
        <v>1186</v>
      </c>
      <c r="G1573" s="143" t="s">
        <v>107</v>
      </c>
      <c r="H1573" s="165">
        <v>3.0000000000000001E-5</v>
      </c>
      <c r="I1573" s="165">
        <v>0</v>
      </c>
      <c r="J1573" s="158">
        <v>7812501</v>
      </c>
      <c r="K1573" s="158">
        <f t="shared" si="305"/>
        <v>0</v>
      </c>
      <c r="L1573" s="158"/>
      <c r="M1573" s="158"/>
      <c r="N1573" s="158">
        <f t="shared" si="308"/>
        <v>0</v>
      </c>
      <c r="O1573" s="158"/>
      <c r="P1573" s="156"/>
    </row>
    <row r="1574" spans="1:17" s="16" customFormat="1" x14ac:dyDescent="0.2">
      <c r="A1574" t="s">
        <v>1681</v>
      </c>
      <c r="B1574" t="s">
        <v>1401</v>
      </c>
      <c r="C1574" s="16" t="s">
        <v>1723</v>
      </c>
      <c r="D1574" s="142" t="s">
        <v>2115</v>
      </c>
      <c r="E1574" s="143" t="s">
        <v>1188</v>
      </c>
      <c r="F1574" s="164" t="s">
        <v>1189</v>
      </c>
      <c r="G1574" s="143" t="s">
        <v>107</v>
      </c>
      <c r="H1574" s="165">
        <v>1.9400000000000001E-3</v>
      </c>
      <c r="I1574" s="165">
        <v>3.0000000000000001E-5</v>
      </c>
      <c r="J1574" s="158">
        <v>10500000</v>
      </c>
      <c r="K1574" s="158">
        <f t="shared" si="305"/>
        <v>315</v>
      </c>
      <c r="L1574" s="158"/>
      <c r="M1574" s="158"/>
      <c r="N1574" s="158">
        <f t="shared" si="308"/>
        <v>315</v>
      </c>
      <c r="O1574" s="158"/>
      <c r="P1574" s="156"/>
    </row>
    <row r="1575" spans="1:17" s="16" customFormat="1" x14ac:dyDescent="0.2">
      <c r="A1575" t="s">
        <v>1681</v>
      </c>
      <c r="B1575" t="s">
        <v>1401</v>
      </c>
      <c r="C1575" s="16" t="s">
        <v>1723</v>
      </c>
      <c r="D1575" s="142" t="s">
        <v>2116</v>
      </c>
      <c r="E1575" s="143" t="s">
        <v>690</v>
      </c>
      <c r="F1575" s="164" t="s">
        <v>691</v>
      </c>
      <c r="G1575" s="143" t="s">
        <v>420</v>
      </c>
      <c r="H1575" s="165">
        <v>1.37</v>
      </c>
      <c r="I1575" s="165">
        <v>2.1509E-2</v>
      </c>
      <c r="J1575" s="158">
        <v>4210</v>
      </c>
      <c r="K1575" s="158">
        <f t="shared" si="305"/>
        <v>90.552890000000005</v>
      </c>
      <c r="L1575" s="158"/>
      <c r="M1575" s="158"/>
      <c r="N1575" s="158">
        <f t="shared" si="308"/>
        <v>90.552890000000005</v>
      </c>
      <c r="O1575" s="158"/>
      <c r="P1575" s="156"/>
    </row>
    <row r="1576" spans="1:17" s="16" customFormat="1" x14ac:dyDescent="0.2">
      <c r="A1576" t="s">
        <v>1681</v>
      </c>
      <c r="B1576" t="s">
        <v>1401</v>
      </c>
      <c r="C1576" s="16" t="s">
        <v>1723</v>
      </c>
      <c r="D1576" s="142" t="s">
        <v>2117</v>
      </c>
      <c r="E1576" s="143" t="s">
        <v>105</v>
      </c>
      <c r="F1576" s="164" t="s">
        <v>106</v>
      </c>
      <c r="G1576" s="143" t="s">
        <v>107</v>
      </c>
      <c r="H1576" s="165">
        <v>4.0000000000000001E-3</v>
      </c>
      <c r="I1576" s="165">
        <v>6.3E-5</v>
      </c>
      <c r="J1576" s="158">
        <v>11250000</v>
      </c>
      <c r="K1576" s="158">
        <f t="shared" si="305"/>
        <v>708.75</v>
      </c>
      <c r="L1576" s="158"/>
      <c r="M1576" s="158"/>
      <c r="N1576" s="158">
        <f t="shared" si="308"/>
        <v>708.75</v>
      </c>
      <c r="O1576" s="158"/>
      <c r="P1576" s="156"/>
    </row>
    <row r="1577" spans="1:17" s="16" customFormat="1" x14ac:dyDescent="0.2">
      <c r="A1577" t="s">
        <v>1681</v>
      </c>
      <c r="B1577" t="s">
        <v>1401</v>
      </c>
      <c r="C1577" s="16" t="s">
        <v>1723</v>
      </c>
      <c r="D1577" s="142" t="s">
        <v>2118</v>
      </c>
      <c r="E1577" s="143" t="s">
        <v>2119</v>
      </c>
      <c r="F1577" s="164" t="s">
        <v>2120</v>
      </c>
      <c r="G1577" s="143" t="s">
        <v>107</v>
      </c>
      <c r="H1577" s="165">
        <v>1E-4</v>
      </c>
      <c r="I1577" s="165">
        <v>1.9999999999999999E-6</v>
      </c>
      <c r="J1577" s="158">
        <v>0</v>
      </c>
      <c r="K1577" s="158">
        <f t="shared" si="305"/>
        <v>0</v>
      </c>
      <c r="L1577" s="158"/>
      <c r="M1577" s="158"/>
      <c r="N1577" s="158">
        <f t="shared" si="308"/>
        <v>0</v>
      </c>
      <c r="O1577" s="158"/>
      <c r="P1577" s="156"/>
    </row>
    <row r="1578" spans="1:17" s="16" customFormat="1" ht="24" x14ac:dyDescent="0.2">
      <c r="A1578" t="s">
        <v>1681</v>
      </c>
      <c r="B1578" t="s">
        <v>1401</v>
      </c>
      <c r="C1578" s="16" t="s">
        <v>1723</v>
      </c>
      <c r="D1578" s="142" t="s">
        <v>2121</v>
      </c>
      <c r="E1578" s="143" t="s">
        <v>1193</v>
      </c>
      <c r="F1578" s="164" t="s">
        <v>1194</v>
      </c>
      <c r="G1578" s="143" t="s">
        <v>420</v>
      </c>
      <c r="H1578" s="165">
        <v>1.0300000000000001E-3</v>
      </c>
      <c r="I1578" s="165">
        <v>1.5999999999999999E-5</v>
      </c>
      <c r="J1578" s="158">
        <v>4107143</v>
      </c>
      <c r="K1578" s="158">
        <f t="shared" si="305"/>
        <v>65.714287999999996</v>
      </c>
      <c r="L1578" s="158"/>
      <c r="M1578" s="158"/>
      <c r="N1578" s="158">
        <f t="shared" si="308"/>
        <v>65.714287999999996</v>
      </c>
      <c r="O1578" s="158"/>
      <c r="P1578" s="156"/>
    </row>
    <row r="1579" spans="1:17" s="16" customFormat="1" x14ac:dyDescent="0.2">
      <c r="A1579" t="s">
        <v>1681</v>
      </c>
      <c r="B1579" t="s">
        <v>1401</v>
      </c>
      <c r="C1579" s="16" t="s">
        <v>1723</v>
      </c>
      <c r="D1579" s="142" t="s">
        <v>2122</v>
      </c>
      <c r="E1579" s="143" t="s">
        <v>885</v>
      </c>
      <c r="F1579" s="164" t="s">
        <v>886</v>
      </c>
      <c r="G1579" s="143" t="s">
        <v>42</v>
      </c>
      <c r="H1579" s="165">
        <v>7.0000000000000007E-2</v>
      </c>
      <c r="I1579" s="165">
        <v>1.0989999999999999E-3</v>
      </c>
      <c r="J1579" s="158">
        <v>15000</v>
      </c>
      <c r="K1579" s="158">
        <f t="shared" si="305"/>
        <v>16.484999999999999</v>
      </c>
      <c r="L1579" s="158"/>
      <c r="M1579" s="158"/>
      <c r="N1579" s="158">
        <f t="shared" si="308"/>
        <v>16.484999999999999</v>
      </c>
      <c r="O1579" s="158"/>
      <c r="P1579" s="156"/>
    </row>
    <row r="1580" spans="1:17" s="16" customFormat="1" x14ac:dyDescent="0.2">
      <c r="A1580" t="s">
        <v>1681</v>
      </c>
      <c r="B1580" t="s">
        <v>1401</v>
      </c>
      <c r="C1580" s="16" t="s">
        <v>1723</v>
      </c>
      <c r="D1580" s="142" t="s">
        <v>2123</v>
      </c>
      <c r="E1580" s="143" t="s">
        <v>696</v>
      </c>
      <c r="F1580" s="164" t="s">
        <v>486</v>
      </c>
      <c r="G1580" s="143" t="s">
        <v>250</v>
      </c>
      <c r="H1580" s="165">
        <v>0.41</v>
      </c>
      <c r="I1580" s="165">
        <v>6.437E-3</v>
      </c>
      <c r="J1580" s="158">
        <v>2500</v>
      </c>
      <c r="K1580" s="158">
        <f t="shared" si="305"/>
        <v>16.092500000000001</v>
      </c>
      <c r="L1580" s="158"/>
      <c r="M1580" s="158"/>
      <c r="N1580" s="158">
        <f t="shared" si="308"/>
        <v>16.092500000000001</v>
      </c>
      <c r="O1580" s="158"/>
      <c r="P1580" s="156"/>
    </row>
    <row r="1581" spans="1:17" s="16" customFormat="1" ht="36" x14ac:dyDescent="0.2">
      <c r="A1581" t="s">
        <v>1681</v>
      </c>
      <c r="B1581" t="s">
        <v>1401</v>
      </c>
      <c r="C1581" s="16" t="s">
        <v>1723</v>
      </c>
      <c r="D1581" s="142" t="s">
        <v>2124</v>
      </c>
      <c r="E1581" s="143" t="s">
        <v>1984</v>
      </c>
      <c r="F1581" s="164" t="s">
        <v>1985</v>
      </c>
      <c r="G1581" s="143" t="s">
        <v>107</v>
      </c>
      <c r="H1581" s="165">
        <v>1E-3</v>
      </c>
      <c r="I1581" s="165">
        <v>1.5999999999999999E-5</v>
      </c>
      <c r="J1581" s="158">
        <v>9000000</v>
      </c>
      <c r="K1581" s="158">
        <f t="shared" si="305"/>
        <v>144</v>
      </c>
      <c r="L1581" s="158"/>
      <c r="M1581" s="158"/>
      <c r="N1581" s="158">
        <f t="shared" si="308"/>
        <v>144</v>
      </c>
      <c r="O1581" s="158"/>
      <c r="P1581" s="156"/>
    </row>
    <row r="1582" spans="1:17" s="16" customFormat="1" x14ac:dyDescent="0.2">
      <c r="A1582" t="s">
        <v>1681</v>
      </c>
      <c r="B1582" t="s">
        <v>1401</v>
      </c>
      <c r="C1582" s="16" t="s">
        <v>1723</v>
      </c>
      <c r="D1582" s="142" t="s">
        <v>2125</v>
      </c>
      <c r="E1582" s="143" t="s">
        <v>698</v>
      </c>
      <c r="F1582" s="164" t="s">
        <v>699</v>
      </c>
      <c r="G1582" s="143" t="s">
        <v>107</v>
      </c>
      <c r="H1582" s="165">
        <v>1</v>
      </c>
      <c r="I1582" s="165">
        <v>1.5699999999999999E-2</v>
      </c>
      <c r="J1582" s="158">
        <v>9000000</v>
      </c>
      <c r="K1582" s="158">
        <f t="shared" si="305"/>
        <v>141300</v>
      </c>
      <c r="L1582" s="158"/>
      <c r="M1582" s="158"/>
      <c r="N1582" s="158">
        <f t="shared" si="308"/>
        <v>141300</v>
      </c>
      <c r="O1582" s="158"/>
      <c r="P1582" s="156"/>
    </row>
    <row r="1583" spans="1:17" s="16" customFormat="1" ht="36" x14ac:dyDescent="0.2">
      <c r="A1583" t="s">
        <v>1681</v>
      </c>
      <c r="B1583" t="s">
        <v>1401</v>
      </c>
      <c r="C1583" s="16" t="s">
        <v>1723</v>
      </c>
      <c r="D1583" s="142" t="s">
        <v>2126</v>
      </c>
      <c r="E1583" s="143" t="s">
        <v>2127</v>
      </c>
      <c r="F1583" s="164" t="s">
        <v>2128</v>
      </c>
      <c r="G1583" s="143" t="s">
        <v>1243</v>
      </c>
      <c r="H1583" s="165">
        <v>1.8700000000000001E-2</v>
      </c>
      <c r="I1583" s="165">
        <v>2.9399999999999999E-4</v>
      </c>
      <c r="J1583" s="158">
        <v>0</v>
      </c>
      <c r="K1583" s="158">
        <f t="shared" si="305"/>
        <v>0</v>
      </c>
      <c r="L1583" s="158"/>
      <c r="M1583" s="158"/>
      <c r="N1583" s="158">
        <f t="shared" si="308"/>
        <v>0</v>
      </c>
      <c r="O1583" s="158"/>
      <c r="P1583" s="156"/>
    </row>
    <row r="1584" spans="1:17" s="1" customFormat="1" ht="25.5" x14ac:dyDescent="0.2">
      <c r="A1584" t="s">
        <v>1681</v>
      </c>
      <c r="B1584" t="s">
        <v>1401</v>
      </c>
      <c r="C1584" s="1" t="s">
        <v>1683</v>
      </c>
      <c r="D1584" s="130" t="s">
        <v>1061</v>
      </c>
      <c r="E1584" s="131" t="s">
        <v>903</v>
      </c>
      <c r="F1584" s="131" t="s">
        <v>904</v>
      </c>
      <c r="G1584" s="132" t="s">
        <v>1733</v>
      </c>
      <c r="H1584" s="159">
        <v>2.5999999999999999E-2</v>
      </c>
      <c r="I1584" s="159"/>
      <c r="J1584" s="158"/>
      <c r="K1584" s="158"/>
      <c r="L1584" s="158"/>
      <c r="M1584" s="158"/>
      <c r="N1584" s="158"/>
      <c r="O1584" s="158"/>
      <c r="P1584" s="153"/>
      <c r="Q1584" s="35"/>
    </row>
    <row r="1585" spans="1:17" s="14" customFormat="1" x14ac:dyDescent="0.2">
      <c r="A1585" t="s">
        <v>1681</v>
      </c>
      <c r="B1585" t="s">
        <v>1401</v>
      </c>
      <c r="C1585" s="14" t="s">
        <v>24</v>
      </c>
      <c r="D1585" s="134" t="s">
        <v>1063</v>
      </c>
      <c r="E1585" s="135" t="s">
        <v>18</v>
      </c>
      <c r="F1585" s="160" t="s">
        <v>23</v>
      </c>
      <c r="G1585" s="135" t="s">
        <v>24</v>
      </c>
      <c r="H1585" s="158">
        <v>5.31</v>
      </c>
      <c r="I1585" s="158">
        <v>0.13805999999999999</v>
      </c>
      <c r="J1585" s="158">
        <v>22914.53</v>
      </c>
      <c r="K1585" s="158">
        <f t="shared" ref="K1585:K1589" si="309">+J1585*I1585</f>
        <v>3163.5800117999997</v>
      </c>
      <c r="L1585" s="158">
        <f t="shared" ref="L1585:L1586" si="310">+J1585*I1585</f>
        <v>3163.5800117999997</v>
      </c>
      <c r="M1585" s="158"/>
      <c r="N1585" s="158"/>
      <c r="O1585" s="158"/>
      <c r="P1585" s="154"/>
    </row>
    <row r="1586" spans="1:17" s="16" customFormat="1" x14ac:dyDescent="0.2">
      <c r="A1586" t="s">
        <v>1681</v>
      </c>
      <c r="B1586" t="s">
        <v>1401</v>
      </c>
      <c r="C1586" s="14" t="s">
        <v>24</v>
      </c>
      <c r="D1586" s="134" t="s">
        <v>1064</v>
      </c>
      <c r="E1586" s="135" t="s">
        <v>52</v>
      </c>
      <c r="F1586" s="160" t="s">
        <v>1687</v>
      </c>
      <c r="G1586" s="135" t="s">
        <v>24</v>
      </c>
      <c r="H1586" s="158">
        <v>0.01</v>
      </c>
      <c r="I1586" s="158">
        <v>2.5999999999999998E-4</v>
      </c>
      <c r="J1586" s="158"/>
      <c r="K1586" s="158">
        <f t="shared" si="309"/>
        <v>0</v>
      </c>
      <c r="L1586" s="158">
        <f t="shared" si="310"/>
        <v>0</v>
      </c>
      <c r="M1586" s="158"/>
      <c r="N1586" s="158"/>
      <c r="O1586" s="158"/>
      <c r="P1586" s="156"/>
    </row>
    <row r="1587" spans="1:17" s="15" customFormat="1" x14ac:dyDescent="0.2">
      <c r="A1587" t="s">
        <v>1681</v>
      </c>
      <c r="B1587" t="s">
        <v>1401</v>
      </c>
      <c r="C1587" s="124" t="s">
        <v>28</v>
      </c>
      <c r="D1587" s="138" t="s">
        <v>1065</v>
      </c>
      <c r="E1587" s="139" t="s">
        <v>193</v>
      </c>
      <c r="F1587" s="161" t="s">
        <v>31</v>
      </c>
      <c r="G1587" s="139" t="s">
        <v>28</v>
      </c>
      <c r="H1587" s="162">
        <v>0.01</v>
      </c>
      <c r="I1587" s="162">
        <v>2.5999999999999998E-4</v>
      </c>
      <c r="J1587" s="158">
        <v>106655</v>
      </c>
      <c r="K1587" s="158">
        <f t="shared" si="309"/>
        <v>27.730299999999996</v>
      </c>
      <c r="L1587" s="158"/>
      <c r="M1587" s="158">
        <f t="shared" ref="M1587:M1588" si="311">+J1587*I1587</f>
        <v>27.730299999999996</v>
      </c>
      <c r="N1587" s="158"/>
      <c r="O1587" s="158"/>
      <c r="P1587" s="155"/>
    </row>
    <row r="1588" spans="1:17" s="15" customFormat="1" ht="24" x14ac:dyDescent="0.2">
      <c r="A1588" t="s">
        <v>1681</v>
      </c>
      <c r="B1588" t="s">
        <v>1401</v>
      </c>
      <c r="C1588" s="124" t="s">
        <v>28</v>
      </c>
      <c r="D1588" s="138" t="s">
        <v>1066</v>
      </c>
      <c r="E1588" s="139" t="s">
        <v>908</v>
      </c>
      <c r="F1588" s="161" t="s">
        <v>909</v>
      </c>
      <c r="G1588" s="139" t="s">
        <v>28</v>
      </c>
      <c r="H1588" s="162">
        <v>1.1200000000000001</v>
      </c>
      <c r="I1588" s="162">
        <v>2.912E-2</v>
      </c>
      <c r="J1588" s="158">
        <v>6265</v>
      </c>
      <c r="K1588" s="158">
        <f t="shared" si="309"/>
        <v>182.43680000000001</v>
      </c>
      <c r="L1588" s="158"/>
      <c r="M1588" s="158">
        <f t="shared" si="311"/>
        <v>182.43680000000001</v>
      </c>
      <c r="N1588" s="158"/>
      <c r="O1588" s="158"/>
      <c r="P1588" s="155"/>
    </row>
    <row r="1589" spans="1:17" s="16" customFormat="1" x14ac:dyDescent="0.2">
      <c r="A1589" t="s">
        <v>1681</v>
      </c>
      <c r="B1589" t="s">
        <v>1401</v>
      </c>
      <c r="C1589" s="16" t="s">
        <v>1723</v>
      </c>
      <c r="D1589" s="142" t="s">
        <v>2129</v>
      </c>
      <c r="E1589" s="143" t="s">
        <v>911</v>
      </c>
      <c r="F1589" s="164" t="s">
        <v>912</v>
      </c>
      <c r="G1589" s="143" t="s">
        <v>107</v>
      </c>
      <c r="H1589" s="165">
        <v>1.2E-2</v>
      </c>
      <c r="I1589" s="165">
        <v>3.1199999999999999E-4</v>
      </c>
      <c r="J1589" s="158">
        <v>18482000</v>
      </c>
      <c r="K1589" s="158">
        <f t="shared" si="309"/>
        <v>5766.384</v>
      </c>
      <c r="L1589" s="158"/>
      <c r="M1589" s="158"/>
      <c r="N1589" s="158">
        <f t="shared" ref="N1589" si="312">+J1589*I1589</f>
        <v>5766.384</v>
      </c>
      <c r="O1589" s="158"/>
      <c r="P1589" s="156"/>
    </row>
    <row r="1590" spans="1:17" s="1" customFormat="1" ht="25.5" x14ac:dyDescent="0.2">
      <c r="A1590" t="s">
        <v>1681</v>
      </c>
      <c r="B1590" t="s">
        <v>1401</v>
      </c>
      <c r="C1590" s="1" t="s">
        <v>1683</v>
      </c>
      <c r="D1590" s="130" t="s">
        <v>262</v>
      </c>
      <c r="E1590" s="131" t="s">
        <v>1205</v>
      </c>
      <c r="F1590" s="131" t="s">
        <v>915</v>
      </c>
      <c r="G1590" s="132" t="s">
        <v>1733</v>
      </c>
      <c r="H1590" s="159">
        <v>2.5999999999999999E-2</v>
      </c>
      <c r="I1590" s="159"/>
      <c r="J1590" s="158"/>
      <c r="K1590" s="158"/>
      <c r="L1590" s="158"/>
      <c r="M1590" s="158"/>
      <c r="N1590" s="158"/>
      <c r="O1590" s="158"/>
      <c r="P1590" s="153"/>
      <c r="Q1590" s="35"/>
    </row>
    <row r="1591" spans="1:17" s="14" customFormat="1" x14ac:dyDescent="0.2">
      <c r="A1591" t="s">
        <v>1681</v>
      </c>
      <c r="B1591" t="s">
        <v>1401</v>
      </c>
      <c r="C1591" s="14" t="s">
        <v>24</v>
      </c>
      <c r="D1591" s="134" t="s">
        <v>1067</v>
      </c>
      <c r="E1591" s="135" t="s">
        <v>18</v>
      </c>
      <c r="F1591" s="160" t="s">
        <v>23</v>
      </c>
      <c r="G1591" s="135" t="s">
        <v>24</v>
      </c>
      <c r="H1591" s="158">
        <v>3.83</v>
      </c>
      <c r="I1591" s="158">
        <v>9.9580000000000002E-2</v>
      </c>
      <c r="J1591" s="158">
        <v>22914.53</v>
      </c>
      <c r="K1591" s="158">
        <f t="shared" ref="K1591:K1596" si="313">+J1591*I1591</f>
        <v>2281.8288973999997</v>
      </c>
      <c r="L1591" s="158">
        <f t="shared" ref="L1591:L1592" si="314">+J1591*I1591</f>
        <v>2281.8288973999997</v>
      </c>
      <c r="M1591" s="158"/>
      <c r="N1591" s="158"/>
      <c r="O1591" s="158"/>
      <c r="P1591" s="154"/>
    </row>
    <row r="1592" spans="1:17" s="16" customFormat="1" x14ac:dyDescent="0.2">
      <c r="A1592" t="s">
        <v>1681</v>
      </c>
      <c r="B1592" t="s">
        <v>1401</v>
      </c>
      <c r="C1592" s="14" t="s">
        <v>24</v>
      </c>
      <c r="D1592" s="134" t="s">
        <v>1068</v>
      </c>
      <c r="E1592" s="135" t="s">
        <v>52</v>
      </c>
      <c r="F1592" s="160" t="s">
        <v>1687</v>
      </c>
      <c r="G1592" s="135" t="s">
        <v>24</v>
      </c>
      <c r="H1592" s="158">
        <v>0.01</v>
      </c>
      <c r="I1592" s="158">
        <v>2.5999999999999998E-4</v>
      </c>
      <c r="J1592" s="158"/>
      <c r="K1592" s="158">
        <f t="shared" si="313"/>
        <v>0</v>
      </c>
      <c r="L1592" s="158">
        <f t="shared" si="314"/>
        <v>0</v>
      </c>
      <c r="M1592" s="158"/>
      <c r="N1592" s="158"/>
      <c r="O1592" s="158"/>
      <c r="P1592" s="156"/>
    </row>
    <row r="1593" spans="1:17" s="15" customFormat="1" x14ac:dyDescent="0.2">
      <c r="A1593" t="s">
        <v>1681</v>
      </c>
      <c r="B1593" t="s">
        <v>1401</v>
      </c>
      <c r="C1593" s="124" t="s">
        <v>28</v>
      </c>
      <c r="D1593" s="138" t="s">
        <v>1069</v>
      </c>
      <c r="E1593" s="139" t="s">
        <v>193</v>
      </c>
      <c r="F1593" s="161" t="s">
        <v>31</v>
      </c>
      <c r="G1593" s="139" t="s">
        <v>28</v>
      </c>
      <c r="H1593" s="162">
        <v>0.01</v>
      </c>
      <c r="I1593" s="162">
        <v>2.5999999999999998E-4</v>
      </c>
      <c r="J1593" s="158">
        <v>106655</v>
      </c>
      <c r="K1593" s="158">
        <f t="shared" si="313"/>
        <v>27.730299999999996</v>
      </c>
      <c r="L1593" s="158"/>
      <c r="M1593" s="158">
        <f t="shared" ref="M1593:M1594" si="315">+J1593*I1593</f>
        <v>27.730299999999996</v>
      </c>
      <c r="N1593" s="158"/>
      <c r="O1593" s="158"/>
      <c r="P1593" s="155"/>
    </row>
    <row r="1594" spans="1:17" s="15" customFormat="1" ht="24" x14ac:dyDescent="0.2">
      <c r="A1594" t="s">
        <v>1681</v>
      </c>
      <c r="B1594" t="s">
        <v>1401</v>
      </c>
      <c r="C1594" s="124" t="s">
        <v>28</v>
      </c>
      <c r="D1594" s="138" t="s">
        <v>1070</v>
      </c>
      <c r="E1594" s="139" t="s">
        <v>908</v>
      </c>
      <c r="F1594" s="161" t="s">
        <v>909</v>
      </c>
      <c r="G1594" s="139" t="s">
        <v>28</v>
      </c>
      <c r="H1594" s="162">
        <v>0.65</v>
      </c>
      <c r="I1594" s="162">
        <v>1.6899999999999998E-2</v>
      </c>
      <c r="J1594" s="158">
        <v>6265</v>
      </c>
      <c r="K1594" s="158">
        <f t="shared" si="313"/>
        <v>105.87849999999999</v>
      </c>
      <c r="L1594" s="158"/>
      <c r="M1594" s="158">
        <f t="shared" si="315"/>
        <v>105.87849999999999</v>
      </c>
      <c r="N1594" s="158"/>
      <c r="O1594" s="158"/>
      <c r="P1594" s="155"/>
    </row>
    <row r="1595" spans="1:17" s="16" customFormat="1" x14ac:dyDescent="0.2">
      <c r="A1595" t="s">
        <v>1681</v>
      </c>
      <c r="B1595" t="s">
        <v>1401</v>
      </c>
      <c r="C1595" s="16" t="s">
        <v>1723</v>
      </c>
      <c r="D1595" s="142" t="s">
        <v>1071</v>
      </c>
      <c r="E1595" s="143" t="s">
        <v>920</v>
      </c>
      <c r="F1595" s="164" t="s">
        <v>921</v>
      </c>
      <c r="G1595" s="143" t="s">
        <v>107</v>
      </c>
      <c r="H1595" s="165">
        <v>1.9E-2</v>
      </c>
      <c r="I1595" s="165">
        <v>4.9399999999999997E-4</v>
      </c>
      <c r="J1595" s="158">
        <v>27312000</v>
      </c>
      <c r="K1595" s="158">
        <f t="shared" si="313"/>
        <v>13492.127999999999</v>
      </c>
      <c r="L1595" s="158"/>
      <c r="M1595" s="158"/>
      <c r="N1595" s="158">
        <f t="shared" ref="N1595:N1596" si="316">+J1595*I1595</f>
        <v>13492.127999999999</v>
      </c>
      <c r="O1595" s="158"/>
      <c r="P1595" s="156"/>
    </row>
    <row r="1596" spans="1:17" s="16" customFormat="1" x14ac:dyDescent="0.2">
      <c r="A1596" t="s">
        <v>1681</v>
      </c>
      <c r="B1596" t="s">
        <v>1401</v>
      </c>
      <c r="C1596" s="16" t="s">
        <v>1723</v>
      </c>
      <c r="D1596" s="142" t="s">
        <v>1072</v>
      </c>
      <c r="E1596" s="143" t="s">
        <v>923</v>
      </c>
      <c r="F1596" s="164" t="s">
        <v>924</v>
      </c>
      <c r="G1596" s="143" t="s">
        <v>107</v>
      </c>
      <c r="H1596" s="165">
        <v>1.4E-3</v>
      </c>
      <c r="I1596" s="165">
        <v>3.6000000000000001E-5</v>
      </c>
      <c r="J1596" s="158">
        <v>30246000</v>
      </c>
      <c r="K1596" s="158">
        <f t="shared" si="313"/>
        <v>1088.856</v>
      </c>
      <c r="L1596" s="158"/>
      <c r="M1596" s="158"/>
      <c r="N1596" s="158">
        <f t="shared" si="316"/>
        <v>1088.856</v>
      </c>
      <c r="O1596" s="158"/>
      <c r="P1596" s="156"/>
    </row>
    <row r="1597" spans="1:17" ht="15.75" x14ac:dyDescent="0.25">
      <c r="A1597" t="s">
        <v>1681</v>
      </c>
      <c r="B1597" t="s">
        <v>1401</v>
      </c>
      <c r="D1597" s="151" t="s">
        <v>2130</v>
      </c>
      <c r="E1597" s="128"/>
      <c r="F1597" s="163"/>
      <c r="G1597" s="128"/>
      <c r="H1597" s="128"/>
      <c r="I1597" s="128"/>
      <c r="J1597" s="158"/>
      <c r="K1597" s="158"/>
      <c r="L1597" s="158"/>
      <c r="M1597" s="158"/>
      <c r="N1597" s="158"/>
      <c r="O1597" s="158"/>
      <c r="P1597" s="152"/>
    </row>
    <row r="1598" spans="1:17" s="1" customFormat="1" ht="51" customHeight="1" x14ac:dyDescent="0.2">
      <c r="A1598" s="1" t="s">
        <v>1681</v>
      </c>
      <c r="B1598" s="1" t="s">
        <v>1401</v>
      </c>
      <c r="C1598" s="1" t="s">
        <v>1683</v>
      </c>
      <c r="D1598" s="130" t="s">
        <v>1074</v>
      </c>
      <c r="E1598" s="131" t="s">
        <v>2131</v>
      </c>
      <c r="F1598" s="131" t="s">
        <v>2132</v>
      </c>
      <c r="G1598" s="132" t="s">
        <v>1733</v>
      </c>
      <c r="H1598" s="159">
        <v>9.4E-2</v>
      </c>
      <c r="I1598" s="159"/>
      <c r="J1598" s="158"/>
      <c r="K1598" s="158"/>
      <c r="L1598" s="158"/>
      <c r="M1598" s="158"/>
      <c r="N1598" s="158"/>
      <c r="O1598" s="158"/>
      <c r="P1598" s="153"/>
      <c r="Q1598" s="35"/>
    </row>
    <row r="1599" spans="1:17" s="14" customFormat="1" x14ac:dyDescent="0.2">
      <c r="A1599" t="s">
        <v>1681</v>
      </c>
      <c r="B1599" t="s">
        <v>1401</v>
      </c>
      <c r="C1599" s="14" t="s">
        <v>24</v>
      </c>
      <c r="D1599" s="134" t="s">
        <v>1077</v>
      </c>
      <c r="E1599" s="135" t="s">
        <v>18</v>
      </c>
      <c r="F1599" s="160" t="s">
        <v>23</v>
      </c>
      <c r="G1599" s="135" t="s">
        <v>24</v>
      </c>
      <c r="H1599" s="158">
        <v>170.17</v>
      </c>
      <c r="I1599" s="158">
        <v>15.996</v>
      </c>
      <c r="J1599" s="158">
        <v>22914.53</v>
      </c>
      <c r="K1599" s="158">
        <f t="shared" ref="K1599:K1604" si="317">+J1599*I1599</f>
        <v>366540.82188</v>
      </c>
      <c r="L1599" s="158">
        <f t="shared" ref="L1599:L1600" si="318">+J1599*I1599</f>
        <v>366540.82188</v>
      </c>
      <c r="M1599" s="158"/>
      <c r="N1599" s="158"/>
      <c r="O1599" s="158"/>
      <c r="P1599" s="154"/>
    </row>
    <row r="1600" spans="1:17" s="16" customFormat="1" x14ac:dyDescent="0.2">
      <c r="A1600" t="s">
        <v>1681</v>
      </c>
      <c r="B1600" t="s">
        <v>1401</v>
      </c>
      <c r="C1600" s="14" t="s">
        <v>24</v>
      </c>
      <c r="D1600" s="134" t="s">
        <v>1078</v>
      </c>
      <c r="E1600" s="135" t="s">
        <v>52</v>
      </c>
      <c r="F1600" s="160" t="s">
        <v>1687</v>
      </c>
      <c r="G1600" s="135" t="s">
        <v>24</v>
      </c>
      <c r="H1600" s="158">
        <v>4.22</v>
      </c>
      <c r="I1600" s="158">
        <v>0.39667999999999998</v>
      </c>
      <c r="J1600" s="158"/>
      <c r="K1600" s="158">
        <f t="shared" si="317"/>
        <v>0</v>
      </c>
      <c r="L1600" s="158">
        <f t="shared" si="318"/>
        <v>0</v>
      </c>
      <c r="M1600" s="158"/>
      <c r="N1600" s="158"/>
      <c r="O1600" s="158"/>
      <c r="P1600" s="156"/>
    </row>
    <row r="1601" spans="1:17" s="15" customFormat="1" x14ac:dyDescent="0.2">
      <c r="A1601" t="s">
        <v>1681</v>
      </c>
      <c r="B1601" t="s">
        <v>1401</v>
      </c>
      <c r="C1601" s="124" t="s">
        <v>28</v>
      </c>
      <c r="D1601" s="138" t="s">
        <v>1081</v>
      </c>
      <c r="E1601" s="139" t="s">
        <v>1079</v>
      </c>
      <c r="F1601" s="161" t="s">
        <v>1080</v>
      </c>
      <c r="G1601" s="139" t="s">
        <v>28</v>
      </c>
      <c r="H1601" s="162">
        <v>4.1100000000000003</v>
      </c>
      <c r="I1601" s="162">
        <v>0.38634000000000002</v>
      </c>
      <c r="J1601" s="158">
        <v>132706</v>
      </c>
      <c r="K1601" s="158">
        <f t="shared" si="317"/>
        <v>51269.636040000005</v>
      </c>
      <c r="L1601" s="158"/>
      <c r="M1601" s="158">
        <f t="shared" ref="M1601:M1602" si="319">+J1601*I1601</f>
        <v>51269.636040000005</v>
      </c>
      <c r="N1601" s="158"/>
      <c r="O1601" s="158"/>
      <c r="P1601" s="155"/>
    </row>
    <row r="1602" spans="1:17" s="15" customFormat="1" x14ac:dyDescent="0.2">
      <c r="A1602" t="s">
        <v>1681</v>
      </c>
      <c r="B1602" t="s">
        <v>1401</v>
      </c>
      <c r="C1602" s="124" t="s">
        <v>28</v>
      </c>
      <c r="D1602" s="138" t="s">
        <v>1082</v>
      </c>
      <c r="E1602" s="139" t="s">
        <v>193</v>
      </c>
      <c r="F1602" s="161" t="s">
        <v>31</v>
      </c>
      <c r="G1602" s="139" t="s">
        <v>28</v>
      </c>
      <c r="H1602" s="162">
        <v>0.11</v>
      </c>
      <c r="I1602" s="162">
        <v>1.034E-2</v>
      </c>
      <c r="J1602" s="158">
        <v>106655</v>
      </c>
      <c r="K1602" s="158">
        <f t="shared" si="317"/>
        <v>1102.8126999999999</v>
      </c>
      <c r="L1602" s="158"/>
      <c r="M1602" s="158">
        <f t="shared" si="319"/>
        <v>1102.8126999999999</v>
      </c>
      <c r="N1602" s="158"/>
      <c r="O1602" s="158"/>
      <c r="P1602" s="155"/>
    </row>
    <row r="1603" spans="1:17" s="16" customFormat="1" ht="24" x14ac:dyDescent="0.2">
      <c r="A1603" t="s">
        <v>1681</v>
      </c>
      <c r="B1603" t="s">
        <v>1401</v>
      </c>
      <c r="C1603" s="16" t="s">
        <v>1723</v>
      </c>
      <c r="D1603" s="142" t="s">
        <v>1083</v>
      </c>
      <c r="E1603" s="143" t="s">
        <v>2133</v>
      </c>
      <c r="F1603" s="164" t="s">
        <v>2134</v>
      </c>
      <c r="G1603" s="143" t="s">
        <v>2135</v>
      </c>
      <c r="H1603" s="165">
        <v>3.8807999999999998</v>
      </c>
      <c r="I1603" s="165">
        <v>0.36479499999999998</v>
      </c>
      <c r="J1603" s="158">
        <v>1150000</v>
      </c>
      <c r="K1603" s="158">
        <f t="shared" si="317"/>
        <v>419514.25</v>
      </c>
      <c r="L1603" s="158"/>
      <c r="M1603" s="158"/>
      <c r="N1603" s="158">
        <f t="shared" ref="N1603:N1604" si="320">+J1603*I1603</f>
        <v>419514.25</v>
      </c>
      <c r="O1603" s="158"/>
      <c r="P1603" s="156"/>
    </row>
    <row r="1604" spans="1:17" s="16" customFormat="1" x14ac:dyDescent="0.2">
      <c r="A1604" t="s">
        <v>1681</v>
      </c>
      <c r="B1604" t="s">
        <v>1401</v>
      </c>
      <c r="C1604" s="16" t="s">
        <v>1723</v>
      </c>
      <c r="D1604" s="142" t="s">
        <v>1084</v>
      </c>
      <c r="E1604" s="143" t="s">
        <v>2136</v>
      </c>
      <c r="F1604" s="164" t="s">
        <v>2137</v>
      </c>
      <c r="G1604" s="143" t="s">
        <v>420</v>
      </c>
      <c r="H1604" s="165">
        <v>2.0699999999999998</v>
      </c>
      <c r="I1604" s="165">
        <v>0.19458</v>
      </c>
      <c r="J1604" s="158">
        <v>332390</v>
      </c>
      <c r="K1604" s="158">
        <f t="shared" si="317"/>
        <v>64676.446199999998</v>
      </c>
      <c r="L1604" s="158"/>
      <c r="M1604" s="158"/>
      <c r="N1604" s="158">
        <f t="shared" si="320"/>
        <v>64676.446199999998</v>
      </c>
      <c r="O1604" s="158"/>
      <c r="P1604" s="156"/>
    </row>
    <row r="1605" spans="1:17" s="1" customFormat="1" x14ac:dyDescent="0.2">
      <c r="A1605" t="s">
        <v>1681</v>
      </c>
      <c r="B1605" t="s">
        <v>1401</v>
      </c>
      <c r="C1605" s="16" t="s">
        <v>1723</v>
      </c>
      <c r="D1605" s="130" t="s">
        <v>1085</v>
      </c>
      <c r="E1605" s="131" t="s">
        <v>1781</v>
      </c>
      <c r="F1605" s="131" t="s">
        <v>2138</v>
      </c>
      <c r="G1605" s="132" t="s">
        <v>107</v>
      </c>
      <c r="H1605" s="159">
        <v>3.0000000000000001E-3</v>
      </c>
      <c r="I1605" s="159">
        <f>+H1605</f>
        <v>3.0000000000000001E-3</v>
      </c>
      <c r="J1605" s="166">
        <v>8036000</v>
      </c>
      <c r="K1605" s="166">
        <f>+J1605*I1605</f>
        <v>24108</v>
      </c>
      <c r="L1605" s="158"/>
      <c r="M1605" s="158"/>
      <c r="N1605" s="166">
        <f>+J1605*I1605</f>
        <v>24108</v>
      </c>
      <c r="O1605" s="158"/>
      <c r="P1605" s="153"/>
    </row>
    <row r="1606" spans="1:17" s="1" customFormat="1" x14ac:dyDescent="0.2">
      <c r="A1606" t="s">
        <v>1681</v>
      </c>
      <c r="B1606" t="s">
        <v>1401</v>
      </c>
      <c r="C1606" s="1" t="s">
        <v>1683</v>
      </c>
      <c r="D1606" s="130" t="s">
        <v>1087</v>
      </c>
      <c r="E1606" s="131" t="s">
        <v>2003</v>
      </c>
      <c r="F1606" s="131" t="s">
        <v>2004</v>
      </c>
      <c r="G1606" s="132" t="s">
        <v>1692</v>
      </c>
      <c r="H1606" s="159">
        <v>2E-3</v>
      </c>
      <c r="I1606" s="159"/>
      <c r="J1606" s="158"/>
      <c r="K1606" s="158"/>
      <c r="L1606" s="158"/>
      <c r="M1606" s="158"/>
      <c r="N1606" s="158"/>
      <c r="O1606" s="158"/>
      <c r="P1606" s="153"/>
      <c r="Q1606" s="35"/>
    </row>
    <row r="1607" spans="1:17" s="14" customFormat="1" x14ac:dyDescent="0.2">
      <c r="A1607" t="s">
        <v>1681</v>
      </c>
      <c r="B1607" t="s">
        <v>1401</v>
      </c>
      <c r="C1607" s="14" t="s">
        <v>24</v>
      </c>
      <c r="D1607" s="134" t="s">
        <v>1631</v>
      </c>
      <c r="E1607" s="135" t="s">
        <v>18</v>
      </c>
      <c r="F1607" s="160" t="s">
        <v>23</v>
      </c>
      <c r="G1607" s="135" t="s">
        <v>24</v>
      </c>
      <c r="H1607" s="158">
        <v>1016.26</v>
      </c>
      <c r="I1607" s="158">
        <v>2.0325000000000002</v>
      </c>
      <c r="J1607" s="158">
        <v>22914.53</v>
      </c>
      <c r="K1607" s="158">
        <f t="shared" ref="K1607:K1623" si="321">+J1607*I1607</f>
        <v>46573.782225000003</v>
      </c>
      <c r="L1607" s="158">
        <f t="shared" ref="L1607:L1608" si="322">+J1607*I1607</f>
        <v>46573.782225000003</v>
      </c>
      <c r="M1607" s="158"/>
      <c r="N1607" s="158"/>
      <c r="O1607" s="158"/>
      <c r="P1607" s="154"/>
    </row>
    <row r="1608" spans="1:17" s="16" customFormat="1" x14ac:dyDescent="0.2">
      <c r="A1608" t="s">
        <v>1681</v>
      </c>
      <c r="B1608" t="s">
        <v>1401</v>
      </c>
      <c r="C1608" s="14" t="s">
        <v>24</v>
      </c>
      <c r="D1608" s="134" t="s">
        <v>1632</v>
      </c>
      <c r="E1608" s="135" t="s">
        <v>52</v>
      </c>
      <c r="F1608" s="160" t="s">
        <v>1687</v>
      </c>
      <c r="G1608" s="135" t="s">
        <v>24</v>
      </c>
      <c r="H1608" s="158">
        <v>72.31</v>
      </c>
      <c r="I1608" s="158">
        <v>0.14462</v>
      </c>
      <c r="J1608" s="158"/>
      <c r="K1608" s="158">
        <f t="shared" si="321"/>
        <v>0</v>
      </c>
      <c r="L1608" s="158">
        <f t="shared" si="322"/>
        <v>0</v>
      </c>
      <c r="M1608" s="158"/>
      <c r="N1608" s="158"/>
      <c r="O1608" s="158"/>
      <c r="P1608" s="156"/>
    </row>
    <row r="1609" spans="1:17" s="15" customFormat="1" x14ac:dyDescent="0.2">
      <c r="A1609" t="s">
        <v>1681</v>
      </c>
      <c r="B1609" t="s">
        <v>1401</v>
      </c>
      <c r="C1609" s="124" t="s">
        <v>28</v>
      </c>
      <c r="D1609" s="138" t="s">
        <v>1633</v>
      </c>
      <c r="E1609" s="139" t="s">
        <v>262</v>
      </c>
      <c r="F1609" s="161" t="s">
        <v>263</v>
      </c>
      <c r="G1609" s="139" t="s">
        <v>28</v>
      </c>
      <c r="H1609" s="162">
        <v>0.27</v>
      </c>
      <c r="I1609" s="162">
        <v>5.4000000000000001E-4</v>
      </c>
      <c r="J1609" s="158">
        <v>140201</v>
      </c>
      <c r="K1609" s="158">
        <f t="shared" si="321"/>
        <v>75.708539999999999</v>
      </c>
      <c r="L1609" s="158"/>
      <c r="M1609" s="158">
        <f t="shared" ref="M1609:M1614" si="323">+J1609*I1609</f>
        <v>75.708539999999999</v>
      </c>
      <c r="N1609" s="158"/>
      <c r="O1609" s="158"/>
      <c r="P1609" s="155"/>
    </row>
    <row r="1610" spans="1:17" s="15" customFormat="1" x14ac:dyDescent="0.2">
      <c r="A1610" t="s">
        <v>1681</v>
      </c>
      <c r="B1610" t="s">
        <v>1401</v>
      </c>
      <c r="C1610" s="124" t="s">
        <v>28</v>
      </c>
      <c r="D1610" s="138" t="s">
        <v>2139</v>
      </c>
      <c r="E1610" s="139" t="s">
        <v>1728</v>
      </c>
      <c r="F1610" s="161" t="s">
        <v>1729</v>
      </c>
      <c r="G1610" s="139" t="s">
        <v>28</v>
      </c>
      <c r="H1610" s="162">
        <v>49.09</v>
      </c>
      <c r="I1610" s="162">
        <v>9.8180000000000003E-2</v>
      </c>
      <c r="J1610" s="158">
        <v>1592</v>
      </c>
      <c r="K1610" s="158">
        <f t="shared" si="321"/>
        <v>156.30256</v>
      </c>
      <c r="L1610" s="158"/>
      <c r="M1610" s="158">
        <f t="shared" si="323"/>
        <v>156.30256</v>
      </c>
      <c r="N1610" s="158"/>
      <c r="O1610" s="158"/>
      <c r="P1610" s="155"/>
    </row>
    <row r="1611" spans="1:17" s="15" customFormat="1" x14ac:dyDescent="0.2">
      <c r="A1611" t="s">
        <v>1681</v>
      </c>
      <c r="B1611" t="s">
        <v>1401</v>
      </c>
      <c r="C1611" s="124" t="s">
        <v>28</v>
      </c>
      <c r="D1611" s="138" t="s">
        <v>2140</v>
      </c>
      <c r="E1611" s="139" t="s">
        <v>1079</v>
      </c>
      <c r="F1611" s="161" t="s">
        <v>1080</v>
      </c>
      <c r="G1611" s="139" t="s">
        <v>28</v>
      </c>
      <c r="H1611" s="162">
        <v>69.97</v>
      </c>
      <c r="I1611" s="162">
        <v>0.13994000000000001</v>
      </c>
      <c r="J1611" s="158">
        <v>132706</v>
      </c>
      <c r="K1611" s="158">
        <f t="shared" si="321"/>
        <v>18570.877640000002</v>
      </c>
      <c r="L1611" s="158"/>
      <c r="M1611" s="158">
        <f t="shared" si="323"/>
        <v>18570.877640000002</v>
      </c>
      <c r="N1611" s="158"/>
      <c r="O1611" s="158"/>
      <c r="P1611" s="155"/>
    </row>
    <row r="1612" spans="1:17" s="15" customFormat="1" ht="24" x14ac:dyDescent="0.2">
      <c r="A1612" t="s">
        <v>1681</v>
      </c>
      <c r="B1612" t="s">
        <v>1401</v>
      </c>
      <c r="C1612" s="124" t="s">
        <v>28</v>
      </c>
      <c r="D1612" s="138" t="s">
        <v>2141</v>
      </c>
      <c r="E1612" s="139" t="s">
        <v>876</v>
      </c>
      <c r="F1612" s="161" t="s">
        <v>877</v>
      </c>
      <c r="G1612" s="139" t="s">
        <v>28</v>
      </c>
      <c r="H1612" s="162">
        <v>0.84</v>
      </c>
      <c r="I1612" s="162">
        <v>1.6800000000000001E-3</v>
      </c>
      <c r="J1612" s="158">
        <v>239461</v>
      </c>
      <c r="K1612" s="158">
        <f t="shared" si="321"/>
        <v>402.29448000000002</v>
      </c>
      <c r="L1612" s="158"/>
      <c r="M1612" s="158">
        <f t="shared" si="323"/>
        <v>402.29448000000002</v>
      </c>
      <c r="N1612" s="158"/>
      <c r="O1612" s="158"/>
      <c r="P1612" s="155"/>
    </row>
    <row r="1613" spans="1:17" s="15" customFormat="1" x14ac:dyDescent="0.2">
      <c r="A1613" t="s">
        <v>1681</v>
      </c>
      <c r="B1613" t="s">
        <v>1401</v>
      </c>
      <c r="C1613" s="124" t="s">
        <v>28</v>
      </c>
      <c r="D1613" s="138" t="s">
        <v>2142</v>
      </c>
      <c r="E1613" s="139" t="s">
        <v>98</v>
      </c>
      <c r="F1613" s="161" t="s">
        <v>99</v>
      </c>
      <c r="G1613" s="139" t="s">
        <v>28</v>
      </c>
      <c r="H1613" s="162">
        <v>208.25</v>
      </c>
      <c r="I1613" s="162">
        <v>0.41649999999999998</v>
      </c>
      <c r="J1613" s="158">
        <v>6858</v>
      </c>
      <c r="K1613" s="158">
        <f t="shared" si="321"/>
        <v>2856.357</v>
      </c>
      <c r="L1613" s="158"/>
      <c r="M1613" s="158">
        <f t="shared" si="323"/>
        <v>2856.357</v>
      </c>
      <c r="N1613" s="158"/>
      <c r="O1613" s="158"/>
      <c r="P1613" s="155"/>
    </row>
    <row r="1614" spans="1:17" s="15" customFormat="1" x14ac:dyDescent="0.2">
      <c r="A1614" t="s">
        <v>1681</v>
      </c>
      <c r="B1614" t="s">
        <v>1401</v>
      </c>
      <c r="C1614" s="124" t="s">
        <v>28</v>
      </c>
      <c r="D1614" s="138" t="s">
        <v>2143</v>
      </c>
      <c r="E1614" s="139" t="s">
        <v>30</v>
      </c>
      <c r="F1614" s="161" t="s">
        <v>31</v>
      </c>
      <c r="G1614" s="139" t="s">
        <v>28</v>
      </c>
      <c r="H1614" s="162">
        <v>1.23</v>
      </c>
      <c r="I1614" s="162">
        <v>2.4599999999999999E-3</v>
      </c>
      <c r="J1614" s="158">
        <v>106655</v>
      </c>
      <c r="K1614" s="158">
        <f t="shared" si="321"/>
        <v>262.37130000000002</v>
      </c>
      <c r="L1614" s="158"/>
      <c r="M1614" s="158">
        <f t="shared" si="323"/>
        <v>262.37130000000002</v>
      </c>
      <c r="N1614" s="158"/>
      <c r="O1614" s="158"/>
      <c r="P1614" s="155"/>
    </row>
    <row r="1615" spans="1:17" s="16" customFormat="1" x14ac:dyDescent="0.2">
      <c r="A1615" t="s">
        <v>1681</v>
      </c>
      <c r="B1615" t="s">
        <v>1401</v>
      </c>
      <c r="C1615" s="16" t="s">
        <v>1723</v>
      </c>
      <c r="D1615" s="142" t="s">
        <v>2144</v>
      </c>
      <c r="E1615" s="143" t="s">
        <v>1990</v>
      </c>
      <c r="F1615" s="164" t="s">
        <v>1991</v>
      </c>
      <c r="G1615" s="143" t="s">
        <v>420</v>
      </c>
      <c r="H1615" s="165">
        <v>101.5</v>
      </c>
      <c r="I1615" s="165">
        <v>0.20300000000000001</v>
      </c>
      <c r="J1615" s="158">
        <v>473214</v>
      </c>
      <c r="K1615" s="158">
        <f t="shared" si="321"/>
        <v>96062.44200000001</v>
      </c>
      <c r="L1615" s="158"/>
      <c r="M1615" s="158"/>
      <c r="N1615" s="158">
        <f t="shared" ref="N1615:N1623" si="324">+J1615*I1615</f>
        <v>96062.44200000001</v>
      </c>
      <c r="O1615" s="158"/>
      <c r="P1615" s="156"/>
    </row>
    <row r="1616" spans="1:17" s="16" customFormat="1" x14ac:dyDescent="0.2">
      <c r="A1616" t="s">
        <v>1681</v>
      </c>
      <c r="B1616" t="s">
        <v>1401</v>
      </c>
      <c r="C1616" s="16" t="s">
        <v>1723</v>
      </c>
      <c r="D1616" s="142" t="s">
        <v>2145</v>
      </c>
      <c r="E1616" s="143" t="s">
        <v>124</v>
      </c>
      <c r="F1616" s="164" t="s">
        <v>125</v>
      </c>
      <c r="G1616" s="143" t="s">
        <v>107</v>
      </c>
      <c r="H1616" s="165">
        <v>3.6999999999999998E-2</v>
      </c>
      <c r="I1616" s="165">
        <v>7.3999999999999996E-5</v>
      </c>
      <c r="J1616" s="158">
        <v>9500000</v>
      </c>
      <c r="K1616" s="158">
        <f t="shared" si="321"/>
        <v>703</v>
      </c>
      <c r="L1616" s="158"/>
      <c r="M1616" s="158"/>
      <c r="N1616" s="158">
        <f t="shared" si="324"/>
        <v>703</v>
      </c>
      <c r="O1616" s="158"/>
      <c r="P1616" s="156"/>
    </row>
    <row r="1617" spans="1:17" s="16" customFormat="1" x14ac:dyDescent="0.2">
      <c r="A1617" t="s">
        <v>1681</v>
      </c>
      <c r="B1617" t="s">
        <v>1401</v>
      </c>
      <c r="C1617" s="16" t="s">
        <v>1723</v>
      </c>
      <c r="D1617" s="142" t="s">
        <v>2146</v>
      </c>
      <c r="E1617" s="143" t="s">
        <v>195</v>
      </c>
      <c r="F1617" s="164" t="s">
        <v>196</v>
      </c>
      <c r="G1617" s="143" t="s">
        <v>107</v>
      </c>
      <c r="H1617" s="165">
        <v>0.04</v>
      </c>
      <c r="I1617" s="165">
        <v>8.0000000000000007E-5</v>
      </c>
      <c r="J1617" s="158">
        <v>300000</v>
      </c>
      <c r="K1617" s="158">
        <f t="shared" si="321"/>
        <v>24.000000000000004</v>
      </c>
      <c r="L1617" s="158"/>
      <c r="M1617" s="158"/>
      <c r="N1617" s="158">
        <f t="shared" si="324"/>
        <v>24.000000000000004</v>
      </c>
      <c r="O1617" s="158"/>
      <c r="P1617" s="156"/>
    </row>
    <row r="1618" spans="1:17" s="16" customFormat="1" x14ac:dyDescent="0.2">
      <c r="A1618" t="s">
        <v>1681</v>
      </c>
      <c r="B1618" t="s">
        <v>1401</v>
      </c>
      <c r="C1618" s="16" t="s">
        <v>1723</v>
      </c>
      <c r="D1618" s="142" t="s">
        <v>2147</v>
      </c>
      <c r="E1618" s="143" t="s">
        <v>1185</v>
      </c>
      <c r="F1618" s="164" t="s">
        <v>1186</v>
      </c>
      <c r="G1618" s="143" t="s">
        <v>107</v>
      </c>
      <c r="H1618" s="165">
        <v>0.25</v>
      </c>
      <c r="I1618" s="165">
        <v>5.0000000000000001E-4</v>
      </c>
      <c r="J1618" s="158">
        <v>7812501</v>
      </c>
      <c r="K1618" s="158">
        <f t="shared" si="321"/>
        <v>3906.2505000000001</v>
      </c>
      <c r="L1618" s="158"/>
      <c r="M1618" s="158"/>
      <c r="N1618" s="158">
        <f t="shared" si="324"/>
        <v>3906.2505000000001</v>
      </c>
      <c r="O1618" s="158"/>
      <c r="P1618" s="156"/>
    </row>
    <row r="1619" spans="1:17" s="16" customFormat="1" x14ac:dyDescent="0.2">
      <c r="A1619" t="s">
        <v>1681</v>
      </c>
      <c r="B1619" t="s">
        <v>1401</v>
      </c>
      <c r="C1619" s="16" t="s">
        <v>1723</v>
      </c>
      <c r="D1619" s="142" t="s">
        <v>2148</v>
      </c>
      <c r="E1619" s="143" t="s">
        <v>693</v>
      </c>
      <c r="F1619" s="164" t="s">
        <v>694</v>
      </c>
      <c r="G1619" s="143" t="s">
        <v>107</v>
      </c>
      <c r="H1619" s="165">
        <v>0.25</v>
      </c>
      <c r="I1619" s="165">
        <v>5.0000000000000001E-4</v>
      </c>
      <c r="J1619" s="158">
        <v>11250000</v>
      </c>
      <c r="K1619" s="158">
        <f t="shared" si="321"/>
        <v>5625</v>
      </c>
      <c r="L1619" s="158"/>
      <c r="M1619" s="158"/>
      <c r="N1619" s="158">
        <f t="shared" si="324"/>
        <v>5625</v>
      </c>
      <c r="O1619" s="158"/>
      <c r="P1619" s="156"/>
    </row>
    <row r="1620" spans="1:17" s="16" customFormat="1" ht="24" x14ac:dyDescent="0.2">
      <c r="A1620" t="s">
        <v>1681</v>
      </c>
      <c r="B1620" t="s">
        <v>1401</v>
      </c>
      <c r="C1620" s="16" t="s">
        <v>1723</v>
      </c>
      <c r="D1620" s="142" t="s">
        <v>2149</v>
      </c>
      <c r="E1620" s="143" t="s">
        <v>1776</v>
      </c>
      <c r="F1620" s="164" t="s">
        <v>1777</v>
      </c>
      <c r="G1620" s="143" t="s">
        <v>420</v>
      </c>
      <c r="H1620" s="165">
        <v>0.81</v>
      </c>
      <c r="I1620" s="165">
        <v>1.6199999999999999E-3</v>
      </c>
      <c r="J1620" s="158">
        <v>4107143</v>
      </c>
      <c r="K1620" s="158">
        <f t="shared" si="321"/>
        <v>6653.5716599999996</v>
      </c>
      <c r="L1620" s="158"/>
      <c r="M1620" s="158"/>
      <c r="N1620" s="158">
        <f t="shared" si="324"/>
        <v>6653.5716599999996</v>
      </c>
      <c r="O1620" s="158"/>
      <c r="P1620" s="156"/>
    </row>
    <row r="1621" spans="1:17" s="16" customFormat="1" x14ac:dyDescent="0.2">
      <c r="A1621" t="s">
        <v>1681</v>
      </c>
      <c r="B1621" t="s">
        <v>1401</v>
      </c>
      <c r="C1621" s="16" t="s">
        <v>1723</v>
      </c>
      <c r="D1621" s="142" t="s">
        <v>2150</v>
      </c>
      <c r="E1621" s="143" t="s">
        <v>1808</v>
      </c>
      <c r="F1621" s="164" t="s">
        <v>1809</v>
      </c>
      <c r="G1621" s="143" t="s">
        <v>38</v>
      </c>
      <c r="H1621" s="165">
        <v>77.900000000000006</v>
      </c>
      <c r="I1621" s="165">
        <v>0.15579999999999999</v>
      </c>
      <c r="J1621" s="158">
        <v>102678</v>
      </c>
      <c r="K1621" s="158">
        <f t="shared" si="321"/>
        <v>15997.232399999999</v>
      </c>
      <c r="L1621" s="158"/>
      <c r="M1621" s="158"/>
      <c r="N1621" s="158">
        <f t="shared" si="324"/>
        <v>15997.232399999999</v>
      </c>
      <c r="O1621" s="158"/>
      <c r="P1621" s="156"/>
    </row>
    <row r="1622" spans="1:17" s="1" customFormat="1" x14ac:dyDescent="0.2">
      <c r="A1622" t="s">
        <v>1681</v>
      </c>
      <c r="B1622" t="s">
        <v>1401</v>
      </c>
      <c r="C1622" s="16" t="s">
        <v>1723</v>
      </c>
      <c r="D1622" s="130" t="s">
        <v>1089</v>
      </c>
      <c r="E1622" s="131" t="s">
        <v>1781</v>
      </c>
      <c r="F1622" s="131" t="s">
        <v>2001</v>
      </c>
      <c r="G1622" s="132" t="s">
        <v>107</v>
      </c>
      <c r="H1622" s="159">
        <v>8.4000000000000003E-4</v>
      </c>
      <c r="I1622" s="159">
        <f t="shared" ref="I1622:I1623" si="325">+H1622</f>
        <v>8.4000000000000003E-4</v>
      </c>
      <c r="J1622" s="166">
        <v>7812501</v>
      </c>
      <c r="K1622" s="166">
        <f t="shared" si="321"/>
        <v>6562.5008400000006</v>
      </c>
      <c r="L1622" s="158"/>
      <c r="M1622" s="158"/>
      <c r="N1622" s="166">
        <f t="shared" si="324"/>
        <v>6562.5008400000006</v>
      </c>
      <c r="O1622" s="158"/>
      <c r="P1622" s="153"/>
    </row>
    <row r="1623" spans="1:17" s="1" customFormat="1" x14ac:dyDescent="0.2">
      <c r="A1623" t="s">
        <v>1681</v>
      </c>
      <c r="B1623" t="s">
        <v>1401</v>
      </c>
      <c r="C1623" s="16" t="s">
        <v>1723</v>
      </c>
      <c r="D1623" s="130" t="s">
        <v>1091</v>
      </c>
      <c r="E1623" s="131" t="s">
        <v>1781</v>
      </c>
      <c r="F1623" s="131" t="s">
        <v>1783</v>
      </c>
      <c r="G1623" s="132" t="s">
        <v>107</v>
      </c>
      <c r="H1623" s="159">
        <v>7.1999999999999998E-3</v>
      </c>
      <c r="I1623" s="159">
        <f t="shared" si="325"/>
        <v>7.1999999999999998E-3</v>
      </c>
      <c r="J1623" s="166">
        <v>8322279</v>
      </c>
      <c r="K1623" s="166">
        <f t="shared" si="321"/>
        <v>59920.408799999997</v>
      </c>
      <c r="L1623" s="158"/>
      <c r="M1623" s="158"/>
      <c r="N1623" s="166">
        <f t="shared" si="324"/>
        <v>59920.408799999997</v>
      </c>
      <c r="O1623" s="158"/>
      <c r="P1623" s="153"/>
    </row>
    <row r="1624" spans="1:17" s="1" customFormat="1" ht="25.5" x14ac:dyDescent="0.2">
      <c r="A1624" t="s">
        <v>1681</v>
      </c>
      <c r="B1624" t="s">
        <v>1401</v>
      </c>
      <c r="C1624" s="1" t="s">
        <v>1683</v>
      </c>
      <c r="D1624" s="130" t="s">
        <v>1094</v>
      </c>
      <c r="E1624" s="131" t="s">
        <v>1988</v>
      </c>
      <c r="F1624" s="131" t="s">
        <v>1989</v>
      </c>
      <c r="G1624" s="132" t="s">
        <v>1692</v>
      </c>
      <c r="H1624" s="159">
        <v>4.0000000000000002E-4</v>
      </c>
      <c r="I1624" s="159"/>
      <c r="J1624" s="158"/>
      <c r="K1624" s="158"/>
      <c r="L1624" s="158"/>
      <c r="M1624" s="158"/>
      <c r="N1624" s="158"/>
      <c r="O1624" s="158"/>
      <c r="P1624" s="153"/>
      <c r="Q1624" s="35"/>
    </row>
    <row r="1625" spans="1:17" s="14" customFormat="1" x14ac:dyDescent="0.2">
      <c r="A1625" t="s">
        <v>1681</v>
      </c>
      <c r="B1625" t="s">
        <v>1401</v>
      </c>
      <c r="C1625" s="14" t="s">
        <v>24</v>
      </c>
      <c r="D1625" s="134" t="s">
        <v>1642</v>
      </c>
      <c r="E1625" s="135" t="s">
        <v>18</v>
      </c>
      <c r="F1625" s="160" t="s">
        <v>23</v>
      </c>
      <c r="G1625" s="135" t="s">
        <v>24</v>
      </c>
      <c r="H1625" s="158">
        <v>1569.4</v>
      </c>
      <c r="I1625" s="158">
        <v>0.62775999999999998</v>
      </c>
      <c r="J1625" s="158">
        <v>22914.53</v>
      </c>
      <c r="K1625" s="158">
        <f t="shared" ref="K1625:K1641" si="326">+J1625*I1625</f>
        <v>14384.825352799999</v>
      </c>
      <c r="L1625" s="158">
        <f t="shared" ref="L1625:L1626" si="327">+J1625*I1625</f>
        <v>14384.825352799999</v>
      </c>
      <c r="M1625" s="158"/>
      <c r="N1625" s="158"/>
      <c r="O1625" s="158"/>
      <c r="P1625" s="154"/>
    </row>
    <row r="1626" spans="1:17" s="16" customFormat="1" x14ac:dyDescent="0.2">
      <c r="A1626" t="s">
        <v>1681</v>
      </c>
      <c r="B1626" t="s">
        <v>1401</v>
      </c>
      <c r="C1626" s="14" t="s">
        <v>24</v>
      </c>
      <c r="D1626" s="134" t="s">
        <v>1643</v>
      </c>
      <c r="E1626" s="135" t="s">
        <v>52</v>
      </c>
      <c r="F1626" s="160" t="s">
        <v>1687</v>
      </c>
      <c r="G1626" s="135" t="s">
        <v>24</v>
      </c>
      <c r="H1626" s="158">
        <v>100.68</v>
      </c>
      <c r="I1626" s="158">
        <v>4.0272000000000002E-2</v>
      </c>
      <c r="J1626" s="158"/>
      <c r="K1626" s="158">
        <f t="shared" si="326"/>
        <v>0</v>
      </c>
      <c r="L1626" s="158">
        <f t="shared" si="327"/>
        <v>0</v>
      </c>
      <c r="M1626" s="158"/>
      <c r="N1626" s="158"/>
      <c r="O1626" s="158"/>
      <c r="P1626" s="156"/>
    </row>
    <row r="1627" spans="1:17" s="15" customFormat="1" x14ac:dyDescent="0.2">
      <c r="A1627" t="s">
        <v>1681</v>
      </c>
      <c r="B1627" t="s">
        <v>1401</v>
      </c>
      <c r="C1627" s="124" t="s">
        <v>28</v>
      </c>
      <c r="D1627" s="138" t="s">
        <v>1644</v>
      </c>
      <c r="E1627" s="139" t="s">
        <v>262</v>
      </c>
      <c r="F1627" s="161" t="s">
        <v>263</v>
      </c>
      <c r="G1627" s="139" t="s">
        <v>28</v>
      </c>
      <c r="H1627" s="162">
        <v>0.27</v>
      </c>
      <c r="I1627" s="162">
        <v>1.08E-4</v>
      </c>
      <c r="J1627" s="158">
        <v>140201</v>
      </c>
      <c r="K1627" s="158">
        <f t="shared" si="326"/>
        <v>15.141708</v>
      </c>
      <c r="L1627" s="158"/>
      <c r="M1627" s="158">
        <f t="shared" ref="M1627:M1632" si="328">+J1627*I1627</f>
        <v>15.141708</v>
      </c>
      <c r="N1627" s="158"/>
      <c r="O1627" s="158"/>
      <c r="P1627" s="155"/>
    </row>
    <row r="1628" spans="1:17" s="15" customFormat="1" x14ac:dyDescent="0.2">
      <c r="A1628" t="s">
        <v>1681</v>
      </c>
      <c r="B1628" t="s">
        <v>1401</v>
      </c>
      <c r="C1628" s="124" t="s">
        <v>28</v>
      </c>
      <c r="D1628" s="138" t="s">
        <v>1645</v>
      </c>
      <c r="E1628" s="139" t="s">
        <v>1728</v>
      </c>
      <c r="F1628" s="161" t="s">
        <v>1729</v>
      </c>
      <c r="G1628" s="139" t="s">
        <v>28</v>
      </c>
      <c r="H1628" s="162">
        <v>61.88</v>
      </c>
      <c r="I1628" s="162">
        <v>2.4752E-2</v>
      </c>
      <c r="J1628" s="158">
        <v>1592</v>
      </c>
      <c r="K1628" s="158">
        <f t="shared" si="326"/>
        <v>39.405183999999998</v>
      </c>
      <c r="L1628" s="158"/>
      <c r="M1628" s="158">
        <f t="shared" si="328"/>
        <v>39.405183999999998</v>
      </c>
      <c r="N1628" s="158"/>
      <c r="O1628" s="158"/>
      <c r="P1628" s="155"/>
    </row>
    <row r="1629" spans="1:17" s="15" customFormat="1" ht="24" x14ac:dyDescent="0.2">
      <c r="A1629" t="s">
        <v>1681</v>
      </c>
      <c r="B1629" t="s">
        <v>1401</v>
      </c>
      <c r="C1629" s="124" t="s">
        <v>28</v>
      </c>
      <c r="D1629" s="138" t="s">
        <v>1649</v>
      </c>
      <c r="E1629" s="139" t="s">
        <v>876</v>
      </c>
      <c r="F1629" s="161" t="s">
        <v>877</v>
      </c>
      <c r="G1629" s="139" t="s">
        <v>28</v>
      </c>
      <c r="H1629" s="162">
        <v>96.14</v>
      </c>
      <c r="I1629" s="162">
        <v>3.8455999999999997E-2</v>
      </c>
      <c r="J1629" s="158">
        <v>239461</v>
      </c>
      <c r="K1629" s="158">
        <f t="shared" si="326"/>
        <v>9208.7122159999999</v>
      </c>
      <c r="L1629" s="158"/>
      <c r="M1629" s="158">
        <f t="shared" si="328"/>
        <v>9208.7122159999999</v>
      </c>
      <c r="N1629" s="158"/>
      <c r="O1629" s="158"/>
      <c r="P1629" s="155"/>
    </row>
    <row r="1630" spans="1:17" s="15" customFormat="1" x14ac:dyDescent="0.2">
      <c r="A1630" t="s">
        <v>1681</v>
      </c>
      <c r="B1630" t="s">
        <v>1401</v>
      </c>
      <c r="C1630" s="124" t="s">
        <v>28</v>
      </c>
      <c r="D1630" s="138" t="s">
        <v>1652</v>
      </c>
      <c r="E1630" s="139" t="s">
        <v>1767</v>
      </c>
      <c r="F1630" s="161" t="s">
        <v>1768</v>
      </c>
      <c r="G1630" s="139" t="s">
        <v>28</v>
      </c>
      <c r="H1630" s="162">
        <v>1.9</v>
      </c>
      <c r="I1630" s="162">
        <v>7.6000000000000004E-4</v>
      </c>
      <c r="J1630" s="158">
        <v>1349</v>
      </c>
      <c r="K1630" s="158">
        <f t="shared" si="326"/>
        <v>1.0252400000000002</v>
      </c>
      <c r="L1630" s="158"/>
      <c r="M1630" s="158">
        <f t="shared" si="328"/>
        <v>1.0252400000000002</v>
      </c>
      <c r="N1630" s="158"/>
      <c r="O1630" s="158"/>
      <c r="P1630" s="155"/>
    </row>
    <row r="1631" spans="1:17" s="15" customFormat="1" x14ac:dyDescent="0.2">
      <c r="A1631" t="s">
        <v>1681</v>
      </c>
      <c r="B1631" t="s">
        <v>1401</v>
      </c>
      <c r="C1631" s="124" t="s">
        <v>28</v>
      </c>
      <c r="D1631" s="138" t="s">
        <v>2151</v>
      </c>
      <c r="E1631" s="139" t="s">
        <v>98</v>
      </c>
      <c r="F1631" s="161" t="s">
        <v>99</v>
      </c>
      <c r="G1631" s="139" t="s">
        <v>28</v>
      </c>
      <c r="H1631" s="162">
        <v>124.95</v>
      </c>
      <c r="I1631" s="162">
        <v>4.9979999999999997E-2</v>
      </c>
      <c r="J1631" s="158">
        <v>6858</v>
      </c>
      <c r="K1631" s="158">
        <f t="shared" si="326"/>
        <v>342.76283999999998</v>
      </c>
      <c r="L1631" s="158"/>
      <c r="M1631" s="158">
        <f t="shared" si="328"/>
        <v>342.76283999999998</v>
      </c>
      <c r="N1631" s="158"/>
      <c r="O1631" s="158"/>
      <c r="P1631" s="155"/>
    </row>
    <row r="1632" spans="1:17" s="15" customFormat="1" x14ac:dyDescent="0.2">
      <c r="A1632" t="s">
        <v>1681</v>
      </c>
      <c r="B1632" t="s">
        <v>1401</v>
      </c>
      <c r="C1632" s="124" t="s">
        <v>28</v>
      </c>
      <c r="D1632" s="138" t="s">
        <v>2152</v>
      </c>
      <c r="E1632" s="139" t="s">
        <v>30</v>
      </c>
      <c r="F1632" s="161" t="s">
        <v>31</v>
      </c>
      <c r="G1632" s="139" t="s">
        <v>28</v>
      </c>
      <c r="H1632" s="162">
        <v>4.2699999999999996</v>
      </c>
      <c r="I1632" s="162">
        <v>1.7080000000000001E-3</v>
      </c>
      <c r="J1632" s="158">
        <v>106655</v>
      </c>
      <c r="K1632" s="158">
        <f t="shared" si="326"/>
        <v>182.16674</v>
      </c>
      <c r="L1632" s="158"/>
      <c r="M1632" s="158">
        <f t="shared" si="328"/>
        <v>182.16674</v>
      </c>
      <c r="N1632" s="158"/>
      <c r="O1632" s="158"/>
      <c r="P1632" s="155"/>
    </row>
    <row r="1633" spans="1:17" s="16" customFormat="1" x14ac:dyDescent="0.2">
      <c r="A1633" t="s">
        <v>1681</v>
      </c>
      <c r="B1633" t="s">
        <v>1401</v>
      </c>
      <c r="C1633" s="16" t="s">
        <v>1723</v>
      </c>
      <c r="D1633" s="142" t="s">
        <v>2153</v>
      </c>
      <c r="E1633" s="143" t="s">
        <v>1990</v>
      </c>
      <c r="F1633" s="164" t="s">
        <v>1991</v>
      </c>
      <c r="G1633" s="143" t="s">
        <v>420</v>
      </c>
      <c r="H1633" s="165">
        <v>101.5</v>
      </c>
      <c r="I1633" s="165">
        <v>4.0599999999999997E-2</v>
      </c>
      <c r="J1633" s="158">
        <v>473214</v>
      </c>
      <c r="K1633" s="158">
        <f t="shared" si="326"/>
        <v>19212.488399999998</v>
      </c>
      <c r="L1633" s="158"/>
      <c r="M1633" s="158"/>
      <c r="N1633" s="158">
        <f t="shared" ref="N1633:N1641" si="329">+J1633*I1633</f>
        <v>19212.488399999998</v>
      </c>
      <c r="O1633" s="158"/>
      <c r="P1633" s="156"/>
    </row>
    <row r="1634" spans="1:17" s="16" customFormat="1" x14ac:dyDescent="0.2">
      <c r="A1634" t="s">
        <v>1681</v>
      </c>
      <c r="B1634" t="s">
        <v>1401</v>
      </c>
      <c r="C1634" s="16" t="s">
        <v>1723</v>
      </c>
      <c r="D1634" s="142" t="s">
        <v>2154</v>
      </c>
      <c r="E1634" s="143" t="s">
        <v>124</v>
      </c>
      <c r="F1634" s="164" t="s">
        <v>125</v>
      </c>
      <c r="G1634" s="143" t="s">
        <v>107</v>
      </c>
      <c r="H1634" s="165">
        <v>4.4999999999999998E-2</v>
      </c>
      <c r="I1634" s="165">
        <v>1.8E-5</v>
      </c>
      <c r="J1634" s="158">
        <v>9500000</v>
      </c>
      <c r="K1634" s="158">
        <f t="shared" si="326"/>
        <v>171</v>
      </c>
      <c r="L1634" s="158"/>
      <c r="M1634" s="158"/>
      <c r="N1634" s="158">
        <f t="shared" si="329"/>
        <v>171</v>
      </c>
      <c r="O1634" s="158"/>
      <c r="P1634" s="156"/>
    </row>
    <row r="1635" spans="1:17" s="16" customFormat="1" x14ac:dyDescent="0.2">
      <c r="A1635" t="s">
        <v>1681</v>
      </c>
      <c r="B1635" t="s">
        <v>1401</v>
      </c>
      <c r="C1635" s="16" t="s">
        <v>1723</v>
      </c>
      <c r="D1635" s="142" t="s">
        <v>2155</v>
      </c>
      <c r="E1635" s="143" t="s">
        <v>195</v>
      </c>
      <c r="F1635" s="164" t="s">
        <v>196</v>
      </c>
      <c r="G1635" s="143" t="s">
        <v>107</v>
      </c>
      <c r="H1635" s="165">
        <v>8.4000000000000005E-2</v>
      </c>
      <c r="I1635" s="165">
        <v>3.4E-5</v>
      </c>
      <c r="J1635" s="158">
        <v>300000</v>
      </c>
      <c r="K1635" s="158">
        <f t="shared" si="326"/>
        <v>10.199999999999999</v>
      </c>
      <c r="L1635" s="158"/>
      <c r="M1635" s="158"/>
      <c r="N1635" s="158">
        <f t="shared" si="329"/>
        <v>10.199999999999999</v>
      </c>
      <c r="O1635" s="158"/>
      <c r="P1635" s="156"/>
    </row>
    <row r="1636" spans="1:17" s="16" customFormat="1" x14ac:dyDescent="0.2">
      <c r="A1636" t="s">
        <v>1681</v>
      </c>
      <c r="B1636" t="s">
        <v>1401</v>
      </c>
      <c r="C1636" s="16" t="s">
        <v>1723</v>
      </c>
      <c r="D1636" s="142" t="s">
        <v>2156</v>
      </c>
      <c r="E1636" s="143" t="s">
        <v>693</v>
      </c>
      <c r="F1636" s="164" t="s">
        <v>694</v>
      </c>
      <c r="G1636" s="143" t="s">
        <v>107</v>
      </c>
      <c r="H1636" s="165">
        <v>0.15</v>
      </c>
      <c r="I1636" s="165">
        <v>6.0000000000000002E-5</v>
      </c>
      <c r="J1636" s="158">
        <v>11250000</v>
      </c>
      <c r="K1636" s="158">
        <f t="shared" si="326"/>
        <v>675</v>
      </c>
      <c r="L1636" s="158"/>
      <c r="M1636" s="158"/>
      <c r="N1636" s="158">
        <f t="shared" si="329"/>
        <v>675</v>
      </c>
      <c r="O1636" s="158"/>
      <c r="P1636" s="156"/>
    </row>
    <row r="1637" spans="1:17" s="16" customFormat="1" ht="24" x14ac:dyDescent="0.2">
      <c r="A1637" t="s">
        <v>1681</v>
      </c>
      <c r="B1637" t="s">
        <v>1401</v>
      </c>
      <c r="C1637" s="16" t="s">
        <v>1723</v>
      </c>
      <c r="D1637" s="142" t="s">
        <v>2157</v>
      </c>
      <c r="E1637" s="143" t="s">
        <v>1995</v>
      </c>
      <c r="F1637" s="164" t="s">
        <v>1996</v>
      </c>
      <c r="G1637" s="143" t="s">
        <v>420</v>
      </c>
      <c r="H1637" s="165">
        <v>1.7</v>
      </c>
      <c r="I1637" s="165">
        <v>6.8000000000000005E-4</v>
      </c>
      <c r="J1637" s="158">
        <v>4107143</v>
      </c>
      <c r="K1637" s="158">
        <f t="shared" si="326"/>
        <v>2792.8572400000003</v>
      </c>
      <c r="L1637" s="158"/>
      <c r="M1637" s="158"/>
      <c r="N1637" s="158">
        <f t="shared" si="329"/>
        <v>2792.8572400000003</v>
      </c>
      <c r="O1637" s="158"/>
      <c r="P1637" s="156"/>
    </row>
    <row r="1638" spans="1:17" s="16" customFormat="1" ht="24" x14ac:dyDescent="0.2">
      <c r="A1638" t="s">
        <v>1681</v>
      </c>
      <c r="B1638" t="s">
        <v>1401</v>
      </c>
      <c r="C1638" s="16" t="s">
        <v>1723</v>
      </c>
      <c r="D1638" s="142" t="s">
        <v>2158</v>
      </c>
      <c r="E1638" s="143" t="s">
        <v>1998</v>
      </c>
      <c r="F1638" s="164" t="s">
        <v>1999</v>
      </c>
      <c r="G1638" s="143" t="s">
        <v>420</v>
      </c>
      <c r="H1638" s="165">
        <v>0.25</v>
      </c>
      <c r="I1638" s="165">
        <v>1E-4</v>
      </c>
      <c r="J1638" s="158">
        <v>4107143</v>
      </c>
      <c r="K1638" s="158">
        <f t="shared" si="326"/>
        <v>410.71430000000004</v>
      </c>
      <c r="L1638" s="158"/>
      <c r="M1638" s="158"/>
      <c r="N1638" s="158">
        <f t="shared" si="329"/>
        <v>410.71430000000004</v>
      </c>
      <c r="O1638" s="158"/>
      <c r="P1638" s="156"/>
    </row>
    <row r="1639" spans="1:17" s="16" customFormat="1" x14ac:dyDescent="0.2">
      <c r="A1639" t="s">
        <v>1681</v>
      </c>
      <c r="B1639" t="s">
        <v>1401</v>
      </c>
      <c r="C1639" s="16" t="s">
        <v>1723</v>
      </c>
      <c r="D1639" s="142" t="s">
        <v>2159</v>
      </c>
      <c r="E1639" s="143" t="s">
        <v>1808</v>
      </c>
      <c r="F1639" s="164" t="s">
        <v>1809</v>
      </c>
      <c r="G1639" s="143" t="s">
        <v>38</v>
      </c>
      <c r="H1639" s="165">
        <v>135</v>
      </c>
      <c r="I1639" s="165">
        <v>5.3999999999999999E-2</v>
      </c>
      <c r="J1639" s="158">
        <v>102678</v>
      </c>
      <c r="K1639" s="158">
        <f t="shared" si="326"/>
        <v>5544.6120000000001</v>
      </c>
      <c r="L1639" s="158"/>
      <c r="M1639" s="158"/>
      <c r="N1639" s="158">
        <f t="shared" si="329"/>
        <v>5544.6120000000001</v>
      </c>
      <c r="O1639" s="158"/>
      <c r="P1639" s="156"/>
    </row>
    <row r="1640" spans="1:17" s="1" customFormat="1" x14ac:dyDescent="0.2">
      <c r="A1640" t="s">
        <v>1681</v>
      </c>
      <c r="B1640" t="s">
        <v>1401</v>
      </c>
      <c r="C1640" s="16" t="s">
        <v>1723</v>
      </c>
      <c r="D1640" s="130" t="s">
        <v>1097</v>
      </c>
      <c r="E1640" s="131" t="s">
        <v>1781</v>
      </c>
      <c r="F1640" s="131" t="s">
        <v>2001</v>
      </c>
      <c r="G1640" s="132" t="s">
        <v>107</v>
      </c>
      <c r="H1640" s="159">
        <v>8.8000000000000003E-4</v>
      </c>
      <c r="I1640" s="159">
        <f t="shared" ref="I1640:I1641" si="330">+H1640</f>
        <v>8.8000000000000003E-4</v>
      </c>
      <c r="J1640" s="166">
        <v>7812501</v>
      </c>
      <c r="K1640" s="166">
        <f t="shared" si="326"/>
        <v>6875.0008800000005</v>
      </c>
      <c r="L1640" s="158"/>
      <c r="M1640" s="158"/>
      <c r="N1640" s="166">
        <f t="shared" si="329"/>
        <v>6875.0008800000005</v>
      </c>
      <c r="O1640" s="158"/>
      <c r="P1640" s="153"/>
    </row>
    <row r="1641" spans="1:17" s="1" customFormat="1" x14ac:dyDescent="0.2">
      <c r="A1641" t="s">
        <v>1681</v>
      </c>
      <c r="B1641" t="s">
        <v>1401</v>
      </c>
      <c r="C1641" s="16" t="s">
        <v>1723</v>
      </c>
      <c r="D1641" s="130" t="s">
        <v>1102</v>
      </c>
      <c r="E1641" s="131" t="s">
        <v>1781</v>
      </c>
      <c r="F1641" s="131" t="s">
        <v>1783</v>
      </c>
      <c r="G1641" s="132" t="s">
        <v>107</v>
      </c>
      <c r="H1641" s="159">
        <v>4.4000000000000003E-3</v>
      </c>
      <c r="I1641" s="159">
        <f t="shared" si="330"/>
        <v>4.4000000000000003E-3</v>
      </c>
      <c r="J1641" s="166">
        <v>8322279</v>
      </c>
      <c r="K1641" s="166">
        <f t="shared" si="326"/>
        <v>36618.027600000001</v>
      </c>
      <c r="L1641" s="158"/>
      <c r="M1641" s="158"/>
      <c r="N1641" s="166">
        <f t="shared" si="329"/>
        <v>36618.027600000001</v>
      </c>
      <c r="O1641" s="158"/>
      <c r="P1641" s="153"/>
    </row>
    <row r="1642" spans="1:17" s="1" customFormat="1" x14ac:dyDescent="0.2">
      <c r="A1642" t="s">
        <v>1681</v>
      </c>
      <c r="B1642" t="s">
        <v>1401</v>
      </c>
      <c r="C1642" s="1" t="s">
        <v>1683</v>
      </c>
      <c r="D1642" s="130" t="s">
        <v>1109</v>
      </c>
      <c r="E1642" s="131" t="s">
        <v>2014</v>
      </c>
      <c r="F1642" s="131" t="s">
        <v>2040</v>
      </c>
      <c r="G1642" s="132" t="s">
        <v>420</v>
      </c>
      <c r="H1642" s="159">
        <v>4.1067999999999998</v>
      </c>
      <c r="I1642" s="159"/>
      <c r="J1642" s="158"/>
      <c r="K1642" s="158"/>
      <c r="L1642" s="158"/>
      <c r="M1642" s="158"/>
      <c r="N1642" s="158"/>
      <c r="O1642" s="158"/>
      <c r="P1642" s="153"/>
      <c r="Q1642" s="35"/>
    </row>
    <row r="1643" spans="1:17" s="14" customFormat="1" x14ac:dyDescent="0.2">
      <c r="A1643" t="s">
        <v>1681</v>
      </c>
      <c r="B1643" t="s">
        <v>1401</v>
      </c>
      <c r="C1643" s="14" t="s">
        <v>24</v>
      </c>
      <c r="D1643" s="134" t="s">
        <v>1110</v>
      </c>
      <c r="E1643" s="135" t="s">
        <v>18</v>
      </c>
      <c r="F1643" s="160" t="s">
        <v>23</v>
      </c>
      <c r="G1643" s="135" t="s">
        <v>24</v>
      </c>
      <c r="H1643" s="158">
        <v>24.09</v>
      </c>
      <c r="I1643" s="158">
        <v>98.9328</v>
      </c>
      <c r="J1643" s="158">
        <v>22914.53</v>
      </c>
      <c r="K1643" s="158">
        <f t="shared" ref="K1643:K1656" si="331">+J1643*I1643</f>
        <v>2266998.6135839997</v>
      </c>
      <c r="L1643" s="158">
        <f t="shared" ref="L1643:L1644" si="332">+J1643*I1643</f>
        <v>2266998.6135839997</v>
      </c>
      <c r="M1643" s="158"/>
      <c r="N1643" s="158"/>
      <c r="O1643" s="158"/>
      <c r="P1643" s="154"/>
    </row>
    <row r="1644" spans="1:17" s="16" customFormat="1" x14ac:dyDescent="0.2">
      <c r="A1644" t="s">
        <v>1681</v>
      </c>
      <c r="B1644" t="s">
        <v>1401</v>
      </c>
      <c r="C1644" s="14" t="s">
        <v>24</v>
      </c>
      <c r="D1644" s="134" t="s">
        <v>1111</v>
      </c>
      <c r="E1644" s="135" t="s">
        <v>52</v>
      </c>
      <c r="F1644" s="160" t="s">
        <v>1687</v>
      </c>
      <c r="G1644" s="135" t="s">
        <v>24</v>
      </c>
      <c r="H1644" s="158">
        <v>0.37</v>
      </c>
      <c r="I1644" s="158">
        <v>1.5195000000000001</v>
      </c>
      <c r="J1644" s="158"/>
      <c r="K1644" s="158">
        <f t="shared" si="331"/>
        <v>0</v>
      </c>
      <c r="L1644" s="158">
        <f t="shared" si="332"/>
        <v>0</v>
      </c>
      <c r="M1644" s="158"/>
      <c r="N1644" s="158"/>
      <c r="O1644" s="158"/>
      <c r="P1644" s="156"/>
    </row>
    <row r="1645" spans="1:17" s="15" customFormat="1" ht="24" x14ac:dyDescent="0.2">
      <c r="A1645" t="s">
        <v>1681</v>
      </c>
      <c r="B1645" t="s">
        <v>1401</v>
      </c>
      <c r="C1645" s="124" t="s">
        <v>28</v>
      </c>
      <c r="D1645" s="138" t="s">
        <v>1112</v>
      </c>
      <c r="E1645" s="139" t="s">
        <v>876</v>
      </c>
      <c r="F1645" s="161" t="s">
        <v>877</v>
      </c>
      <c r="G1645" s="139" t="s">
        <v>28</v>
      </c>
      <c r="H1645" s="162">
        <v>0.15</v>
      </c>
      <c r="I1645" s="162">
        <v>0.61602000000000001</v>
      </c>
      <c r="J1645" s="158">
        <v>239461</v>
      </c>
      <c r="K1645" s="158">
        <f t="shared" si="331"/>
        <v>147512.76522</v>
      </c>
      <c r="L1645" s="158"/>
      <c r="M1645" s="158">
        <f t="shared" ref="M1645:M1647" si="333">+J1645*I1645</f>
        <v>147512.76522</v>
      </c>
      <c r="N1645" s="158"/>
      <c r="O1645" s="158"/>
      <c r="P1645" s="155"/>
    </row>
    <row r="1646" spans="1:17" s="15" customFormat="1" x14ac:dyDescent="0.2">
      <c r="A1646" t="s">
        <v>1681</v>
      </c>
      <c r="B1646" t="s">
        <v>1401</v>
      </c>
      <c r="C1646" s="124" t="s">
        <v>28</v>
      </c>
      <c r="D1646" s="138" t="s">
        <v>1113</v>
      </c>
      <c r="E1646" s="139" t="s">
        <v>2020</v>
      </c>
      <c r="F1646" s="161" t="s">
        <v>2021</v>
      </c>
      <c r="G1646" s="139" t="s">
        <v>28</v>
      </c>
      <c r="H1646" s="162">
        <v>0.44</v>
      </c>
      <c r="I1646" s="162">
        <v>1.8069999999999999</v>
      </c>
      <c r="J1646" s="158">
        <v>2211</v>
      </c>
      <c r="K1646" s="158">
        <f t="shared" si="331"/>
        <v>3995.277</v>
      </c>
      <c r="L1646" s="158"/>
      <c r="M1646" s="158">
        <f t="shared" si="333"/>
        <v>3995.277</v>
      </c>
      <c r="N1646" s="158"/>
      <c r="O1646" s="158"/>
      <c r="P1646" s="155"/>
    </row>
    <row r="1647" spans="1:17" s="15" customFormat="1" x14ac:dyDescent="0.2">
      <c r="A1647" t="s">
        <v>1681</v>
      </c>
      <c r="B1647" t="s">
        <v>1401</v>
      </c>
      <c r="C1647" s="124" t="s">
        <v>28</v>
      </c>
      <c r="D1647" s="138" t="s">
        <v>1114</v>
      </c>
      <c r="E1647" s="139" t="s">
        <v>30</v>
      </c>
      <c r="F1647" s="161" t="s">
        <v>31</v>
      </c>
      <c r="G1647" s="139" t="s">
        <v>28</v>
      </c>
      <c r="H1647" s="162">
        <v>0.22</v>
      </c>
      <c r="I1647" s="162">
        <v>0.90349599999999997</v>
      </c>
      <c r="J1647" s="158">
        <v>106655</v>
      </c>
      <c r="K1647" s="158">
        <f t="shared" si="331"/>
        <v>96362.365879999998</v>
      </c>
      <c r="L1647" s="158"/>
      <c r="M1647" s="158">
        <f t="shared" si="333"/>
        <v>96362.365879999998</v>
      </c>
      <c r="N1647" s="158"/>
      <c r="O1647" s="158"/>
      <c r="P1647" s="155"/>
    </row>
    <row r="1648" spans="1:17" s="16" customFormat="1" x14ac:dyDescent="0.2">
      <c r="A1648" t="s">
        <v>1681</v>
      </c>
      <c r="B1648" t="s">
        <v>1401</v>
      </c>
      <c r="C1648" s="16" t="s">
        <v>1723</v>
      </c>
      <c r="D1648" s="142" t="s">
        <v>1115</v>
      </c>
      <c r="E1648" s="143" t="s">
        <v>124</v>
      </c>
      <c r="F1648" s="164" t="s">
        <v>125</v>
      </c>
      <c r="G1648" s="143" t="s">
        <v>107</v>
      </c>
      <c r="H1648" s="165">
        <v>7.1999999999999998E-3</v>
      </c>
      <c r="I1648" s="165">
        <v>2.9569000000000002E-2</v>
      </c>
      <c r="J1648" s="158">
        <v>9500000</v>
      </c>
      <c r="K1648" s="158">
        <f t="shared" si="331"/>
        <v>280905.5</v>
      </c>
      <c r="L1648" s="158"/>
      <c r="M1648" s="158"/>
      <c r="N1648" s="158">
        <f t="shared" ref="N1648:N1656" si="334">+J1648*I1648</f>
        <v>280905.5</v>
      </c>
      <c r="O1648" s="158"/>
      <c r="P1648" s="156"/>
    </row>
    <row r="1649" spans="1:17" s="16" customFormat="1" ht="24" x14ac:dyDescent="0.2">
      <c r="A1649" t="s">
        <v>1681</v>
      </c>
      <c r="B1649" t="s">
        <v>1401</v>
      </c>
      <c r="C1649" s="16" t="s">
        <v>1723</v>
      </c>
      <c r="D1649" s="142" t="s">
        <v>1669</v>
      </c>
      <c r="E1649" s="143" t="s">
        <v>2025</v>
      </c>
      <c r="F1649" s="164" t="s">
        <v>2026</v>
      </c>
      <c r="G1649" s="143" t="s">
        <v>38</v>
      </c>
      <c r="H1649" s="165">
        <v>3.38</v>
      </c>
      <c r="I1649" s="165">
        <v>13.881</v>
      </c>
      <c r="J1649" s="158">
        <v>3500</v>
      </c>
      <c r="K1649" s="158">
        <f t="shared" si="331"/>
        <v>48583.5</v>
      </c>
      <c r="L1649" s="158"/>
      <c r="M1649" s="158"/>
      <c r="N1649" s="158">
        <f t="shared" si="334"/>
        <v>48583.5</v>
      </c>
      <c r="O1649" s="158"/>
      <c r="P1649" s="156"/>
    </row>
    <row r="1650" spans="1:17" s="16" customFormat="1" x14ac:dyDescent="0.2">
      <c r="A1650" t="s">
        <v>1681</v>
      </c>
      <c r="B1650" t="s">
        <v>1401</v>
      </c>
      <c r="C1650" s="16" t="s">
        <v>1723</v>
      </c>
      <c r="D1650" s="142" t="s">
        <v>2160</v>
      </c>
      <c r="E1650" s="143" t="s">
        <v>1185</v>
      </c>
      <c r="F1650" s="164" t="s">
        <v>1186</v>
      </c>
      <c r="G1650" s="143" t="s">
        <v>107</v>
      </c>
      <c r="H1650" s="165">
        <v>4.3800000000000002E-3</v>
      </c>
      <c r="I1650" s="165">
        <v>1.7988000000000001E-2</v>
      </c>
      <c r="J1650" s="158">
        <v>7812501</v>
      </c>
      <c r="K1650" s="158">
        <f t="shared" si="331"/>
        <v>140531.26798800001</v>
      </c>
      <c r="L1650" s="158"/>
      <c r="M1650" s="158"/>
      <c r="N1650" s="158">
        <f t="shared" si="334"/>
        <v>140531.26798800001</v>
      </c>
      <c r="O1650" s="158"/>
      <c r="P1650" s="156"/>
    </row>
    <row r="1651" spans="1:17" s="16" customFormat="1" ht="24" x14ac:dyDescent="0.2">
      <c r="A1651" t="s">
        <v>1681</v>
      </c>
      <c r="B1651" t="s">
        <v>1401</v>
      </c>
      <c r="C1651" s="16" t="s">
        <v>1723</v>
      </c>
      <c r="D1651" s="142" t="s">
        <v>2161</v>
      </c>
      <c r="E1651" s="143" t="s">
        <v>2029</v>
      </c>
      <c r="F1651" s="164" t="s">
        <v>2030</v>
      </c>
      <c r="G1651" s="143" t="s">
        <v>420</v>
      </c>
      <c r="H1651" s="165">
        <v>0.16</v>
      </c>
      <c r="I1651" s="165">
        <v>0.65708800000000001</v>
      </c>
      <c r="J1651" s="158">
        <v>4107143</v>
      </c>
      <c r="K1651" s="158">
        <f t="shared" si="331"/>
        <v>2698754.379584</v>
      </c>
      <c r="L1651" s="158"/>
      <c r="M1651" s="158"/>
      <c r="N1651" s="158">
        <f t="shared" si="334"/>
        <v>2698754.379584</v>
      </c>
      <c r="O1651" s="158"/>
      <c r="P1651" s="156"/>
    </row>
    <row r="1652" spans="1:17" s="16" customFormat="1" ht="24" x14ac:dyDescent="0.2">
      <c r="A1652" t="s">
        <v>1681</v>
      </c>
      <c r="B1652" t="s">
        <v>1401</v>
      </c>
      <c r="C1652" s="16" t="s">
        <v>1723</v>
      </c>
      <c r="D1652" s="142" t="s">
        <v>2162</v>
      </c>
      <c r="E1652" s="143" t="s">
        <v>2032</v>
      </c>
      <c r="F1652" s="164" t="s">
        <v>2033</v>
      </c>
      <c r="G1652" s="143" t="s">
        <v>420</v>
      </c>
      <c r="H1652" s="165">
        <v>0.06</v>
      </c>
      <c r="I1652" s="165">
        <v>0.24640799999999999</v>
      </c>
      <c r="J1652" s="158">
        <v>4107143</v>
      </c>
      <c r="K1652" s="158">
        <f t="shared" si="331"/>
        <v>1012032.8923439999</v>
      </c>
      <c r="L1652" s="158"/>
      <c r="M1652" s="158"/>
      <c r="N1652" s="158">
        <f t="shared" si="334"/>
        <v>1012032.8923439999</v>
      </c>
      <c r="O1652" s="158"/>
      <c r="P1652" s="156"/>
    </row>
    <row r="1653" spans="1:17" s="16" customFormat="1" ht="24" x14ac:dyDescent="0.2">
      <c r="A1653" t="s">
        <v>1681</v>
      </c>
      <c r="B1653" t="s">
        <v>1401</v>
      </c>
      <c r="C1653" s="16" t="s">
        <v>1723</v>
      </c>
      <c r="D1653" s="142" t="s">
        <v>2163</v>
      </c>
      <c r="E1653" s="143" t="s">
        <v>2035</v>
      </c>
      <c r="F1653" s="164" t="s">
        <v>2036</v>
      </c>
      <c r="G1653" s="143" t="s">
        <v>420</v>
      </c>
      <c r="H1653" s="165">
        <v>0.83</v>
      </c>
      <c r="I1653" s="165">
        <v>3.4085999999999999</v>
      </c>
      <c r="J1653" s="158">
        <v>4107143</v>
      </c>
      <c r="K1653" s="158">
        <f t="shared" si="331"/>
        <v>13999607.629799999</v>
      </c>
      <c r="L1653" s="158"/>
      <c r="M1653" s="158"/>
      <c r="N1653" s="158">
        <f t="shared" si="334"/>
        <v>13999607.629799999</v>
      </c>
      <c r="O1653" s="158"/>
      <c r="P1653" s="156"/>
    </row>
    <row r="1654" spans="1:17" s="16" customFormat="1" x14ac:dyDescent="0.2">
      <c r="A1654" t="s">
        <v>1681</v>
      </c>
      <c r="B1654" t="s">
        <v>1401</v>
      </c>
      <c r="C1654" s="16" t="s">
        <v>1723</v>
      </c>
      <c r="D1654" s="142" t="s">
        <v>2164</v>
      </c>
      <c r="E1654" s="143" t="s">
        <v>2038</v>
      </c>
      <c r="F1654" s="164" t="s">
        <v>2039</v>
      </c>
      <c r="G1654" s="143" t="s">
        <v>107</v>
      </c>
      <c r="H1654" s="165">
        <v>1.9599999999999999E-3</v>
      </c>
      <c r="I1654" s="165">
        <v>8.0490000000000006E-3</v>
      </c>
      <c r="J1654" s="158">
        <v>1800000</v>
      </c>
      <c r="K1654" s="158">
        <f t="shared" si="331"/>
        <v>14488.2</v>
      </c>
      <c r="L1654" s="158"/>
      <c r="M1654" s="158"/>
      <c r="N1654" s="158">
        <f t="shared" si="334"/>
        <v>14488.2</v>
      </c>
      <c r="O1654" s="158"/>
      <c r="P1654" s="156"/>
    </row>
    <row r="1655" spans="1:17" s="1" customFormat="1" x14ac:dyDescent="0.2">
      <c r="A1655" t="s">
        <v>1681</v>
      </c>
      <c r="B1655" t="s">
        <v>1401</v>
      </c>
      <c r="C1655" s="16" t="s">
        <v>1723</v>
      </c>
      <c r="D1655" s="130" t="s">
        <v>1116</v>
      </c>
      <c r="E1655" s="131" t="s">
        <v>2165</v>
      </c>
      <c r="F1655" s="131" t="s">
        <v>2166</v>
      </c>
      <c r="G1655" s="132" t="s">
        <v>38</v>
      </c>
      <c r="H1655" s="159">
        <v>3.2</v>
      </c>
      <c r="I1655" s="159">
        <f t="shared" ref="I1655:I1656" si="335">+H1655</f>
        <v>3.2</v>
      </c>
      <c r="J1655" s="166">
        <v>75450</v>
      </c>
      <c r="K1655" s="166">
        <f t="shared" si="331"/>
        <v>241440</v>
      </c>
      <c r="L1655" s="158"/>
      <c r="M1655" s="158"/>
      <c r="N1655" s="166">
        <f t="shared" si="334"/>
        <v>241440</v>
      </c>
      <c r="O1655" s="158"/>
      <c r="P1655" s="153"/>
    </row>
    <row r="1656" spans="1:17" s="1" customFormat="1" x14ac:dyDescent="0.2">
      <c r="A1656" t="s">
        <v>1681</v>
      </c>
      <c r="B1656" t="s">
        <v>1401</v>
      </c>
      <c r="C1656" s="16" t="s">
        <v>1723</v>
      </c>
      <c r="D1656" s="130" t="s">
        <v>1121</v>
      </c>
      <c r="E1656" s="131" t="s">
        <v>1781</v>
      </c>
      <c r="F1656" s="131" t="s">
        <v>2167</v>
      </c>
      <c r="G1656" s="132" t="s">
        <v>107</v>
      </c>
      <c r="H1656" s="159">
        <v>9.2000000000000003E-4</v>
      </c>
      <c r="I1656" s="159">
        <f t="shared" si="335"/>
        <v>9.2000000000000003E-4</v>
      </c>
      <c r="J1656" s="166">
        <v>8036000</v>
      </c>
      <c r="K1656" s="166">
        <f t="shared" si="331"/>
        <v>7393.12</v>
      </c>
      <c r="L1656" s="158"/>
      <c r="M1656" s="158"/>
      <c r="N1656" s="166">
        <f t="shared" si="334"/>
        <v>7393.12</v>
      </c>
      <c r="O1656" s="158"/>
      <c r="P1656" s="153"/>
    </row>
    <row r="1657" spans="1:17" ht="15.75" x14ac:dyDescent="0.25">
      <c r="A1657" t="s">
        <v>1681</v>
      </c>
      <c r="B1657" t="s">
        <v>1401</v>
      </c>
      <c r="D1657" s="151" t="s">
        <v>2168</v>
      </c>
      <c r="E1657" s="128"/>
      <c r="F1657" s="163"/>
      <c r="G1657" s="128"/>
      <c r="H1657" s="128"/>
      <c r="I1657" s="128"/>
      <c r="J1657" s="158"/>
      <c r="K1657" s="158"/>
      <c r="L1657" s="158"/>
      <c r="M1657" s="158"/>
      <c r="N1657" s="158"/>
      <c r="O1657" s="158"/>
      <c r="P1657" s="152"/>
    </row>
    <row r="1658" spans="1:17" s="1" customFormat="1" ht="50.25" customHeight="1" x14ac:dyDescent="0.2">
      <c r="A1658" t="s">
        <v>1681</v>
      </c>
      <c r="B1658" t="s">
        <v>1401</v>
      </c>
      <c r="C1658" s="1" t="s">
        <v>1683</v>
      </c>
      <c r="D1658" s="130" t="s">
        <v>1122</v>
      </c>
      <c r="E1658" s="131" t="s">
        <v>2131</v>
      </c>
      <c r="F1658" s="131" t="s">
        <v>2132</v>
      </c>
      <c r="G1658" s="132" t="s">
        <v>1733</v>
      </c>
      <c r="H1658" s="159">
        <v>0.13200000000000001</v>
      </c>
      <c r="I1658" s="159"/>
      <c r="J1658" s="158"/>
      <c r="K1658" s="158"/>
      <c r="L1658" s="158"/>
      <c r="M1658" s="158"/>
      <c r="N1658" s="158"/>
      <c r="O1658" s="158"/>
      <c r="P1658" s="153"/>
      <c r="Q1658" s="35"/>
    </row>
    <row r="1659" spans="1:17" s="14" customFormat="1" x14ac:dyDescent="0.2">
      <c r="A1659" t="s">
        <v>1681</v>
      </c>
      <c r="B1659" t="s">
        <v>1401</v>
      </c>
      <c r="C1659" s="14" t="s">
        <v>24</v>
      </c>
      <c r="D1659" s="134" t="s">
        <v>2169</v>
      </c>
      <c r="E1659" s="135" t="s">
        <v>18</v>
      </c>
      <c r="F1659" s="160" t="s">
        <v>23</v>
      </c>
      <c r="G1659" s="135" t="s">
        <v>24</v>
      </c>
      <c r="H1659" s="158">
        <v>170.17</v>
      </c>
      <c r="I1659" s="158">
        <v>22.462399999999999</v>
      </c>
      <c r="J1659" s="158">
        <v>22914.53</v>
      </c>
      <c r="K1659" s="158">
        <f t="shared" ref="K1659:K1664" si="336">+J1659*I1659</f>
        <v>514715.33867199993</v>
      </c>
      <c r="L1659" s="158">
        <f t="shared" ref="L1659:L1660" si="337">+J1659*I1659</f>
        <v>514715.33867199993</v>
      </c>
      <c r="M1659" s="158"/>
      <c r="N1659" s="158"/>
      <c r="O1659" s="158"/>
      <c r="P1659" s="154"/>
    </row>
    <row r="1660" spans="1:17" s="16" customFormat="1" x14ac:dyDescent="0.2">
      <c r="A1660" t="s">
        <v>1681</v>
      </c>
      <c r="B1660" t="s">
        <v>1401</v>
      </c>
      <c r="C1660" s="14" t="s">
        <v>24</v>
      </c>
      <c r="D1660" s="134" t="s">
        <v>2170</v>
      </c>
      <c r="E1660" s="135" t="s">
        <v>52</v>
      </c>
      <c r="F1660" s="160" t="s">
        <v>1687</v>
      </c>
      <c r="G1660" s="135" t="s">
        <v>24</v>
      </c>
      <c r="H1660" s="158">
        <v>4.22</v>
      </c>
      <c r="I1660" s="158">
        <v>0.55703999999999998</v>
      </c>
      <c r="J1660" s="158"/>
      <c r="K1660" s="158">
        <f t="shared" si="336"/>
        <v>0</v>
      </c>
      <c r="L1660" s="158">
        <f t="shared" si="337"/>
        <v>0</v>
      </c>
      <c r="M1660" s="158"/>
      <c r="N1660" s="158"/>
      <c r="O1660" s="158"/>
      <c r="P1660" s="156"/>
    </row>
    <row r="1661" spans="1:17" s="15" customFormat="1" x14ac:dyDescent="0.2">
      <c r="A1661" t="s">
        <v>1681</v>
      </c>
      <c r="B1661" t="s">
        <v>1401</v>
      </c>
      <c r="C1661" s="124" t="s">
        <v>28</v>
      </c>
      <c r="D1661" s="138" t="s">
        <v>2171</v>
      </c>
      <c r="E1661" s="139" t="s">
        <v>1079</v>
      </c>
      <c r="F1661" s="161" t="s">
        <v>1080</v>
      </c>
      <c r="G1661" s="139" t="s">
        <v>28</v>
      </c>
      <c r="H1661" s="162">
        <v>4.1100000000000003</v>
      </c>
      <c r="I1661" s="162">
        <v>0.54252</v>
      </c>
      <c r="J1661" s="158">
        <v>132706</v>
      </c>
      <c r="K1661" s="158">
        <f t="shared" si="336"/>
        <v>71995.659119999997</v>
      </c>
      <c r="L1661" s="158"/>
      <c r="M1661" s="158">
        <f t="shared" ref="M1661:M1662" si="338">+J1661*I1661</f>
        <v>71995.659119999997</v>
      </c>
      <c r="N1661" s="158"/>
      <c r="O1661" s="158"/>
      <c r="P1661" s="155"/>
    </row>
    <row r="1662" spans="1:17" s="15" customFormat="1" x14ac:dyDescent="0.2">
      <c r="A1662" t="s">
        <v>1681</v>
      </c>
      <c r="B1662" t="s">
        <v>1401</v>
      </c>
      <c r="C1662" s="124" t="s">
        <v>28</v>
      </c>
      <c r="D1662" s="138" t="s">
        <v>2172</v>
      </c>
      <c r="E1662" s="139" t="s">
        <v>193</v>
      </c>
      <c r="F1662" s="161" t="s">
        <v>31</v>
      </c>
      <c r="G1662" s="139" t="s">
        <v>28</v>
      </c>
      <c r="H1662" s="162">
        <v>0.11</v>
      </c>
      <c r="I1662" s="162">
        <v>1.452E-2</v>
      </c>
      <c r="J1662" s="158">
        <v>106655</v>
      </c>
      <c r="K1662" s="158">
        <f t="shared" si="336"/>
        <v>1548.6306</v>
      </c>
      <c r="L1662" s="158"/>
      <c r="M1662" s="158">
        <f t="shared" si="338"/>
        <v>1548.6306</v>
      </c>
      <c r="N1662" s="158"/>
      <c r="O1662" s="158"/>
      <c r="P1662" s="155"/>
    </row>
    <row r="1663" spans="1:17" s="16" customFormat="1" ht="24" x14ac:dyDescent="0.2">
      <c r="A1663" t="s">
        <v>1681</v>
      </c>
      <c r="B1663" t="s">
        <v>1401</v>
      </c>
      <c r="C1663" s="16" t="s">
        <v>1723</v>
      </c>
      <c r="D1663" s="142" t="s">
        <v>2173</v>
      </c>
      <c r="E1663" s="143" t="s">
        <v>2133</v>
      </c>
      <c r="F1663" s="164" t="s">
        <v>2134</v>
      </c>
      <c r="G1663" s="143" t="s">
        <v>2135</v>
      </c>
      <c r="H1663" s="165">
        <v>3.8807999999999998</v>
      </c>
      <c r="I1663" s="165">
        <v>0.512266</v>
      </c>
      <c r="J1663" s="158">
        <v>1150000</v>
      </c>
      <c r="K1663" s="158">
        <f t="shared" si="336"/>
        <v>589105.9</v>
      </c>
      <c r="L1663" s="158"/>
      <c r="M1663" s="158"/>
      <c r="N1663" s="158">
        <f t="shared" ref="N1663:N1664" si="339">+J1663*I1663</f>
        <v>589105.9</v>
      </c>
      <c r="O1663" s="158"/>
      <c r="P1663" s="156"/>
    </row>
    <row r="1664" spans="1:17" s="16" customFormat="1" x14ac:dyDescent="0.2">
      <c r="A1664" t="s">
        <v>1681</v>
      </c>
      <c r="B1664" t="s">
        <v>1401</v>
      </c>
      <c r="C1664" s="16" t="s">
        <v>1723</v>
      </c>
      <c r="D1664" s="142" t="s">
        <v>2174</v>
      </c>
      <c r="E1664" s="143" t="s">
        <v>2136</v>
      </c>
      <c r="F1664" s="164" t="s">
        <v>2137</v>
      </c>
      <c r="G1664" s="143" t="s">
        <v>420</v>
      </c>
      <c r="H1664" s="165">
        <v>2.0699999999999998</v>
      </c>
      <c r="I1664" s="165">
        <v>0.27323999999999998</v>
      </c>
      <c r="J1664" s="158">
        <v>332390</v>
      </c>
      <c r="K1664" s="158">
        <f t="shared" si="336"/>
        <v>90822.243599999987</v>
      </c>
      <c r="L1664" s="158"/>
      <c r="M1664" s="158"/>
      <c r="N1664" s="158">
        <f t="shared" si="339"/>
        <v>90822.243599999987</v>
      </c>
      <c r="O1664" s="158"/>
      <c r="P1664" s="156"/>
    </row>
    <row r="1665" spans="1:17" s="1" customFormat="1" x14ac:dyDescent="0.2">
      <c r="A1665" t="s">
        <v>1681</v>
      </c>
      <c r="B1665" t="s">
        <v>1401</v>
      </c>
      <c r="C1665" s="16" t="s">
        <v>1723</v>
      </c>
      <c r="D1665" s="130" t="s">
        <v>1125</v>
      </c>
      <c r="E1665" s="131" t="s">
        <v>1781</v>
      </c>
      <c r="F1665" s="131" t="s">
        <v>2138</v>
      </c>
      <c r="G1665" s="132" t="s">
        <v>107</v>
      </c>
      <c r="H1665" s="159">
        <v>1.12E-2</v>
      </c>
      <c r="I1665" s="159">
        <f>+H1665</f>
        <v>1.12E-2</v>
      </c>
      <c r="J1665" s="166">
        <v>8036000</v>
      </c>
      <c r="K1665" s="166">
        <f>+J1665*I1665</f>
        <v>90003.199999999997</v>
      </c>
      <c r="L1665" s="158"/>
      <c r="M1665" s="158"/>
      <c r="N1665" s="166">
        <f>+J1665*I1665</f>
        <v>90003.199999999997</v>
      </c>
      <c r="O1665" s="158"/>
      <c r="P1665" s="153"/>
    </row>
    <row r="1666" spans="1:17" s="1" customFormat="1" x14ac:dyDescent="0.2">
      <c r="A1666" t="s">
        <v>1681</v>
      </c>
      <c r="B1666" t="s">
        <v>1401</v>
      </c>
      <c r="C1666" s="1" t="s">
        <v>1683</v>
      </c>
      <c r="D1666" s="130" t="s">
        <v>1132</v>
      </c>
      <c r="E1666" s="131" t="s">
        <v>2003</v>
      </c>
      <c r="F1666" s="131" t="s">
        <v>2004</v>
      </c>
      <c r="G1666" s="132" t="s">
        <v>1692</v>
      </c>
      <c r="H1666" s="159">
        <v>1.5E-3</v>
      </c>
      <c r="I1666" s="159"/>
      <c r="J1666" s="158"/>
      <c r="K1666" s="158"/>
      <c r="L1666" s="158"/>
      <c r="M1666" s="158"/>
      <c r="N1666" s="158"/>
      <c r="O1666" s="158"/>
      <c r="P1666" s="153"/>
      <c r="Q1666" s="35"/>
    </row>
    <row r="1667" spans="1:17" s="14" customFormat="1" x14ac:dyDescent="0.2">
      <c r="A1667" t="s">
        <v>1681</v>
      </c>
      <c r="B1667" t="s">
        <v>1401</v>
      </c>
      <c r="C1667" s="14" t="s">
        <v>24</v>
      </c>
      <c r="D1667" s="134" t="s">
        <v>1134</v>
      </c>
      <c r="E1667" s="135" t="s">
        <v>18</v>
      </c>
      <c r="F1667" s="160" t="s">
        <v>23</v>
      </c>
      <c r="G1667" s="135" t="s">
        <v>24</v>
      </c>
      <c r="H1667" s="158">
        <v>1016.26</v>
      </c>
      <c r="I1667" s="158">
        <v>1.5244</v>
      </c>
      <c r="J1667" s="158">
        <v>22914.53</v>
      </c>
      <c r="K1667" s="158">
        <f t="shared" ref="K1667:K1683" si="340">+J1667*I1667</f>
        <v>34930.909531999998</v>
      </c>
      <c r="L1667" s="158">
        <f t="shared" ref="L1667:L1668" si="341">+J1667*I1667</f>
        <v>34930.909531999998</v>
      </c>
      <c r="M1667" s="158"/>
      <c r="N1667" s="158"/>
      <c r="O1667" s="158"/>
      <c r="P1667" s="154"/>
    </row>
    <row r="1668" spans="1:17" s="16" customFormat="1" x14ac:dyDescent="0.2">
      <c r="A1668" t="s">
        <v>1681</v>
      </c>
      <c r="B1668" t="s">
        <v>1401</v>
      </c>
      <c r="C1668" s="14" t="s">
        <v>24</v>
      </c>
      <c r="D1668" s="134" t="s">
        <v>1135</v>
      </c>
      <c r="E1668" s="135" t="s">
        <v>52</v>
      </c>
      <c r="F1668" s="160" t="s">
        <v>1687</v>
      </c>
      <c r="G1668" s="135" t="s">
        <v>24</v>
      </c>
      <c r="H1668" s="158">
        <v>72.31</v>
      </c>
      <c r="I1668" s="158">
        <v>0.10846500000000001</v>
      </c>
      <c r="J1668" s="158"/>
      <c r="K1668" s="158">
        <f t="shared" si="340"/>
        <v>0</v>
      </c>
      <c r="L1668" s="158">
        <f t="shared" si="341"/>
        <v>0</v>
      </c>
      <c r="M1668" s="158"/>
      <c r="N1668" s="158"/>
      <c r="O1668" s="158"/>
      <c r="P1668" s="156"/>
    </row>
    <row r="1669" spans="1:17" s="15" customFormat="1" x14ac:dyDescent="0.2">
      <c r="A1669" t="s">
        <v>1681</v>
      </c>
      <c r="B1669" t="s">
        <v>1401</v>
      </c>
      <c r="C1669" s="124" t="s">
        <v>28</v>
      </c>
      <c r="D1669" s="138" t="s">
        <v>1136</v>
      </c>
      <c r="E1669" s="139" t="s">
        <v>262</v>
      </c>
      <c r="F1669" s="161" t="s">
        <v>263</v>
      </c>
      <c r="G1669" s="139" t="s">
        <v>28</v>
      </c>
      <c r="H1669" s="162">
        <v>0.27</v>
      </c>
      <c r="I1669" s="162">
        <v>4.0499999999999998E-4</v>
      </c>
      <c r="J1669" s="158">
        <v>140201</v>
      </c>
      <c r="K1669" s="158">
        <f t="shared" si="340"/>
        <v>56.781404999999999</v>
      </c>
      <c r="L1669" s="158"/>
      <c r="M1669" s="158">
        <f t="shared" ref="M1669:M1674" si="342">+J1669*I1669</f>
        <v>56.781404999999999</v>
      </c>
      <c r="N1669" s="158"/>
      <c r="O1669" s="158"/>
      <c r="P1669" s="155"/>
    </row>
    <row r="1670" spans="1:17" s="15" customFormat="1" x14ac:dyDescent="0.2">
      <c r="A1670" t="s">
        <v>1681</v>
      </c>
      <c r="B1670" t="s">
        <v>1401</v>
      </c>
      <c r="C1670" s="124" t="s">
        <v>28</v>
      </c>
      <c r="D1670" s="138" t="s">
        <v>1137</v>
      </c>
      <c r="E1670" s="139" t="s">
        <v>1728</v>
      </c>
      <c r="F1670" s="161" t="s">
        <v>1729</v>
      </c>
      <c r="G1670" s="139" t="s">
        <v>28</v>
      </c>
      <c r="H1670" s="162">
        <v>49.09</v>
      </c>
      <c r="I1670" s="162">
        <v>7.3635000000000006E-2</v>
      </c>
      <c r="J1670" s="158">
        <v>1592</v>
      </c>
      <c r="K1670" s="158">
        <f t="shared" si="340"/>
        <v>117.22692000000001</v>
      </c>
      <c r="L1670" s="158"/>
      <c r="M1670" s="158">
        <f t="shared" si="342"/>
        <v>117.22692000000001</v>
      </c>
      <c r="N1670" s="158"/>
      <c r="O1670" s="158"/>
      <c r="P1670" s="155"/>
    </row>
    <row r="1671" spans="1:17" s="15" customFormat="1" x14ac:dyDescent="0.2">
      <c r="A1671" t="s">
        <v>1681</v>
      </c>
      <c r="B1671" t="s">
        <v>1401</v>
      </c>
      <c r="C1671" s="124" t="s">
        <v>28</v>
      </c>
      <c r="D1671" s="138" t="s">
        <v>2175</v>
      </c>
      <c r="E1671" s="139" t="s">
        <v>1079</v>
      </c>
      <c r="F1671" s="161" t="s">
        <v>1080</v>
      </c>
      <c r="G1671" s="139" t="s">
        <v>28</v>
      </c>
      <c r="H1671" s="162">
        <v>69.97</v>
      </c>
      <c r="I1671" s="162">
        <v>0.10495500000000001</v>
      </c>
      <c r="J1671" s="158">
        <v>132706</v>
      </c>
      <c r="K1671" s="158">
        <f t="shared" si="340"/>
        <v>13928.158230000001</v>
      </c>
      <c r="L1671" s="158"/>
      <c r="M1671" s="158">
        <f t="shared" si="342"/>
        <v>13928.158230000001</v>
      </c>
      <c r="N1671" s="158"/>
      <c r="O1671" s="158"/>
      <c r="P1671" s="155"/>
    </row>
    <row r="1672" spans="1:17" s="15" customFormat="1" ht="24" x14ac:dyDescent="0.2">
      <c r="A1672" t="s">
        <v>1681</v>
      </c>
      <c r="B1672" t="s">
        <v>1401</v>
      </c>
      <c r="C1672" s="124" t="s">
        <v>28</v>
      </c>
      <c r="D1672" s="138" t="s">
        <v>2176</v>
      </c>
      <c r="E1672" s="139" t="s">
        <v>876</v>
      </c>
      <c r="F1672" s="161" t="s">
        <v>877</v>
      </c>
      <c r="G1672" s="139" t="s">
        <v>28</v>
      </c>
      <c r="H1672" s="162">
        <v>0.84</v>
      </c>
      <c r="I1672" s="162">
        <v>1.2600000000000001E-3</v>
      </c>
      <c r="J1672" s="158">
        <v>239461</v>
      </c>
      <c r="K1672" s="158">
        <f t="shared" si="340"/>
        <v>301.72086000000002</v>
      </c>
      <c r="L1672" s="158"/>
      <c r="M1672" s="158">
        <f t="shared" si="342"/>
        <v>301.72086000000002</v>
      </c>
      <c r="N1672" s="158"/>
      <c r="O1672" s="158"/>
      <c r="P1672" s="155"/>
    </row>
    <row r="1673" spans="1:17" s="15" customFormat="1" x14ac:dyDescent="0.2">
      <c r="A1673" t="s">
        <v>1681</v>
      </c>
      <c r="B1673" t="s">
        <v>1401</v>
      </c>
      <c r="C1673" s="124" t="s">
        <v>28</v>
      </c>
      <c r="D1673" s="138" t="s">
        <v>2177</v>
      </c>
      <c r="E1673" s="139" t="s">
        <v>98</v>
      </c>
      <c r="F1673" s="161" t="s">
        <v>99</v>
      </c>
      <c r="G1673" s="139" t="s">
        <v>28</v>
      </c>
      <c r="H1673" s="162">
        <v>208.25</v>
      </c>
      <c r="I1673" s="162">
        <v>0.31237500000000001</v>
      </c>
      <c r="J1673" s="158">
        <v>6858</v>
      </c>
      <c r="K1673" s="158">
        <f t="shared" si="340"/>
        <v>2142.26775</v>
      </c>
      <c r="L1673" s="158"/>
      <c r="M1673" s="158">
        <f t="shared" si="342"/>
        <v>2142.26775</v>
      </c>
      <c r="N1673" s="158"/>
      <c r="O1673" s="158"/>
      <c r="P1673" s="155"/>
    </row>
    <row r="1674" spans="1:17" s="15" customFormat="1" x14ac:dyDescent="0.2">
      <c r="A1674" t="s">
        <v>1681</v>
      </c>
      <c r="B1674" t="s">
        <v>1401</v>
      </c>
      <c r="C1674" s="124" t="s">
        <v>28</v>
      </c>
      <c r="D1674" s="138" t="s">
        <v>2178</v>
      </c>
      <c r="E1674" s="139" t="s">
        <v>30</v>
      </c>
      <c r="F1674" s="161" t="s">
        <v>31</v>
      </c>
      <c r="G1674" s="139" t="s">
        <v>28</v>
      </c>
      <c r="H1674" s="162">
        <v>1.23</v>
      </c>
      <c r="I1674" s="162">
        <v>1.8450000000000001E-3</v>
      </c>
      <c r="J1674" s="158">
        <v>106655</v>
      </c>
      <c r="K1674" s="158">
        <f t="shared" si="340"/>
        <v>196.77847500000001</v>
      </c>
      <c r="L1674" s="158"/>
      <c r="M1674" s="158">
        <f t="shared" si="342"/>
        <v>196.77847500000001</v>
      </c>
      <c r="N1674" s="158"/>
      <c r="O1674" s="158"/>
      <c r="P1674" s="155"/>
    </row>
    <row r="1675" spans="1:17" s="16" customFormat="1" x14ac:dyDescent="0.2">
      <c r="A1675" t="s">
        <v>1681</v>
      </c>
      <c r="B1675" t="s">
        <v>1401</v>
      </c>
      <c r="C1675" s="16" t="s">
        <v>1723</v>
      </c>
      <c r="D1675" s="142" t="s">
        <v>2179</v>
      </c>
      <c r="E1675" s="143" t="s">
        <v>1990</v>
      </c>
      <c r="F1675" s="164" t="s">
        <v>1991</v>
      </c>
      <c r="G1675" s="143" t="s">
        <v>420</v>
      </c>
      <c r="H1675" s="165">
        <v>101.5</v>
      </c>
      <c r="I1675" s="165">
        <v>0.15225</v>
      </c>
      <c r="J1675" s="158">
        <v>473214</v>
      </c>
      <c r="K1675" s="158">
        <f t="shared" si="340"/>
        <v>72046.8315</v>
      </c>
      <c r="L1675" s="158"/>
      <c r="M1675" s="158"/>
      <c r="N1675" s="158">
        <f t="shared" ref="N1675:N1683" si="343">+J1675*I1675</f>
        <v>72046.8315</v>
      </c>
      <c r="O1675" s="158"/>
      <c r="P1675" s="156"/>
    </row>
    <row r="1676" spans="1:17" s="16" customFormat="1" x14ac:dyDescent="0.2">
      <c r="A1676" t="s">
        <v>1681</v>
      </c>
      <c r="B1676" t="s">
        <v>1401</v>
      </c>
      <c r="C1676" s="16" t="s">
        <v>1723</v>
      </c>
      <c r="D1676" s="142" t="s">
        <v>2180</v>
      </c>
      <c r="E1676" s="143" t="s">
        <v>124</v>
      </c>
      <c r="F1676" s="164" t="s">
        <v>125</v>
      </c>
      <c r="G1676" s="143" t="s">
        <v>107</v>
      </c>
      <c r="H1676" s="165">
        <v>3.6999999999999998E-2</v>
      </c>
      <c r="I1676" s="165">
        <v>5.5999999999999999E-5</v>
      </c>
      <c r="J1676" s="158">
        <v>9500000</v>
      </c>
      <c r="K1676" s="158">
        <f t="shared" si="340"/>
        <v>532</v>
      </c>
      <c r="L1676" s="158"/>
      <c r="M1676" s="158"/>
      <c r="N1676" s="158">
        <f t="shared" si="343"/>
        <v>532</v>
      </c>
      <c r="O1676" s="158"/>
      <c r="P1676" s="156"/>
    </row>
    <row r="1677" spans="1:17" s="16" customFormat="1" x14ac:dyDescent="0.2">
      <c r="A1677" t="s">
        <v>1681</v>
      </c>
      <c r="B1677" t="s">
        <v>1401</v>
      </c>
      <c r="C1677" s="16" t="s">
        <v>1723</v>
      </c>
      <c r="D1677" s="142" t="s">
        <v>2181</v>
      </c>
      <c r="E1677" s="143" t="s">
        <v>195</v>
      </c>
      <c r="F1677" s="164" t="s">
        <v>196</v>
      </c>
      <c r="G1677" s="143" t="s">
        <v>107</v>
      </c>
      <c r="H1677" s="165">
        <v>0.04</v>
      </c>
      <c r="I1677" s="165">
        <v>6.0000000000000002E-5</v>
      </c>
      <c r="J1677" s="158">
        <v>300000</v>
      </c>
      <c r="K1677" s="158">
        <f t="shared" si="340"/>
        <v>18</v>
      </c>
      <c r="L1677" s="158"/>
      <c r="M1677" s="158"/>
      <c r="N1677" s="158">
        <f t="shared" si="343"/>
        <v>18</v>
      </c>
      <c r="O1677" s="158"/>
      <c r="P1677" s="156"/>
    </row>
    <row r="1678" spans="1:17" s="16" customFormat="1" x14ac:dyDescent="0.2">
      <c r="A1678" t="s">
        <v>1681</v>
      </c>
      <c r="B1678" t="s">
        <v>1401</v>
      </c>
      <c r="C1678" s="16" t="s">
        <v>1723</v>
      </c>
      <c r="D1678" s="142" t="s">
        <v>2182</v>
      </c>
      <c r="E1678" s="143" t="s">
        <v>1185</v>
      </c>
      <c r="F1678" s="164" t="s">
        <v>1186</v>
      </c>
      <c r="G1678" s="143" t="s">
        <v>107</v>
      </c>
      <c r="H1678" s="165">
        <v>0.25</v>
      </c>
      <c r="I1678" s="165">
        <v>3.7500000000000001E-4</v>
      </c>
      <c r="J1678" s="158">
        <v>7812501</v>
      </c>
      <c r="K1678" s="158">
        <f t="shared" si="340"/>
        <v>2929.6878750000001</v>
      </c>
      <c r="L1678" s="158"/>
      <c r="M1678" s="158"/>
      <c r="N1678" s="158">
        <f t="shared" si="343"/>
        <v>2929.6878750000001</v>
      </c>
      <c r="O1678" s="158"/>
      <c r="P1678" s="156"/>
    </row>
    <row r="1679" spans="1:17" s="16" customFormat="1" x14ac:dyDescent="0.2">
      <c r="A1679" t="s">
        <v>1681</v>
      </c>
      <c r="B1679" t="s">
        <v>1401</v>
      </c>
      <c r="C1679" s="16" t="s">
        <v>1723</v>
      </c>
      <c r="D1679" s="142" t="s">
        <v>2183</v>
      </c>
      <c r="E1679" s="143" t="s">
        <v>693</v>
      </c>
      <c r="F1679" s="164" t="s">
        <v>694</v>
      </c>
      <c r="G1679" s="143" t="s">
        <v>107</v>
      </c>
      <c r="H1679" s="165">
        <v>0.25</v>
      </c>
      <c r="I1679" s="165">
        <v>3.7500000000000001E-4</v>
      </c>
      <c r="J1679" s="158">
        <v>11250000</v>
      </c>
      <c r="K1679" s="158">
        <f t="shared" si="340"/>
        <v>4218.75</v>
      </c>
      <c r="L1679" s="158"/>
      <c r="M1679" s="158"/>
      <c r="N1679" s="158">
        <f t="shared" si="343"/>
        <v>4218.75</v>
      </c>
      <c r="O1679" s="158"/>
      <c r="P1679" s="156"/>
    </row>
    <row r="1680" spans="1:17" s="16" customFormat="1" ht="24" x14ac:dyDescent="0.2">
      <c r="A1680" t="s">
        <v>1681</v>
      </c>
      <c r="B1680" t="s">
        <v>1401</v>
      </c>
      <c r="C1680" s="16" t="s">
        <v>1723</v>
      </c>
      <c r="D1680" s="142" t="s">
        <v>2184</v>
      </c>
      <c r="E1680" s="143" t="s">
        <v>1776</v>
      </c>
      <c r="F1680" s="164" t="s">
        <v>1777</v>
      </c>
      <c r="G1680" s="143" t="s">
        <v>420</v>
      </c>
      <c r="H1680" s="165">
        <v>0.81</v>
      </c>
      <c r="I1680" s="165">
        <v>1.2149999999999999E-3</v>
      </c>
      <c r="J1680" s="158">
        <v>4107143</v>
      </c>
      <c r="K1680" s="158">
        <f t="shared" si="340"/>
        <v>4990.1787450000002</v>
      </c>
      <c r="L1680" s="158"/>
      <c r="M1680" s="158"/>
      <c r="N1680" s="158">
        <f t="shared" si="343"/>
        <v>4990.1787450000002</v>
      </c>
      <c r="O1680" s="158"/>
      <c r="P1680" s="156"/>
    </row>
    <row r="1681" spans="1:17" s="16" customFormat="1" x14ac:dyDescent="0.2">
      <c r="A1681" t="s">
        <v>1681</v>
      </c>
      <c r="B1681" t="s">
        <v>1401</v>
      </c>
      <c r="C1681" s="16" t="s">
        <v>1723</v>
      </c>
      <c r="D1681" s="142" t="s">
        <v>2185</v>
      </c>
      <c r="E1681" s="143" t="s">
        <v>1808</v>
      </c>
      <c r="F1681" s="164" t="s">
        <v>1809</v>
      </c>
      <c r="G1681" s="143" t="s">
        <v>38</v>
      </c>
      <c r="H1681" s="165">
        <v>77.900000000000006</v>
      </c>
      <c r="I1681" s="165">
        <v>0.11685</v>
      </c>
      <c r="J1681" s="158">
        <v>102678</v>
      </c>
      <c r="K1681" s="158">
        <f t="shared" si="340"/>
        <v>11997.924299999999</v>
      </c>
      <c r="L1681" s="158"/>
      <c r="M1681" s="158"/>
      <c r="N1681" s="158">
        <f t="shared" si="343"/>
        <v>11997.924299999999</v>
      </c>
      <c r="O1681" s="158"/>
      <c r="P1681" s="156"/>
    </row>
    <row r="1682" spans="1:17" s="1" customFormat="1" x14ac:dyDescent="0.2">
      <c r="A1682" t="s">
        <v>1681</v>
      </c>
      <c r="B1682" t="s">
        <v>1401</v>
      </c>
      <c r="C1682" s="16" t="s">
        <v>1723</v>
      </c>
      <c r="D1682" s="130" t="s">
        <v>1138</v>
      </c>
      <c r="E1682" s="131" t="s">
        <v>1781</v>
      </c>
      <c r="F1682" s="131" t="s">
        <v>2001</v>
      </c>
      <c r="G1682" s="132" t="s">
        <v>107</v>
      </c>
      <c r="H1682" s="159">
        <v>4.2000000000000002E-4</v>
      </c>
      <c r="I1682" s="159">
        <f t="shared" ref="I1682:I1683" si="344">+H1682</f>
        <v>4.2000000000000002E-4</v>
      </c>
      <c r="J1682" s="166">
        <v>7812501</v>
      </c>
      <c r="K1682" s="166">
        <f t="shared" si="340"/>
        <v>3281.2504200000003</v>
      </c>
      <c r="L1682" s="158"/>
      <c r="M1682" s="158"/>
      <c r="N1682" s="166">
        <f t="shared" si="343"/>
        <v>3281.2504200000003</v>
      </c>
      <c r="O1682" s="158"/>
      <c r="P1682" s="153"/>
    </row>
    <row r="1683" spans="1:17" s="1" customFormat="1" x14ac:dyDescent="0.2">
      <c r="A1683" t="s">
        <v>1681</v>
      </c>
      <c r="B1683" t="s">
        <v>1401</v>
      </c>
      <c r="C1683" s="16" t="s">
        <v>1723</v>
      </c>
      <c r="D1683" s="130" t="s">
        <v>1150</v>
      </c>
      <c r="E1683" s="131" t="s">
        <v>1781</v>
      </c>
      <c r="F1683" s="131" t="s">
        <v>1783</v>
      </c>
      <c r="G1683" s="132" t="s">
        <v>107</v>
      </c>
      <c r="H1683" s="159">
        <v>3.5999999999999999E-3</v>
      </c>
      <c r="I1683" s="159">
        <f t="shared" si="344"/>
        <v>3.5999999999999999E-3</v>
      </c>
      <c r="J1683" s="166">
        <v>8322279</v>
      </c>
      <c r="K1683" s="166">
        <f t="shared" si="340"/>
        <v>29960.204399999999</v>
      </c>
      <c r="L1683" s="158"/>
      <c r="M1683" s="158"/>
      <c r="N1683" s="166">
        <f t="shared" si="343"/>
        <v>29960.204399999999</v>
      </c>
      <c r="O1683" s="158"/>
      <c r="P1683" s="153"/>
    </row>
    <row r="1684" spans="1:17" s="1" customFormat="1" ht="25.5" x14ac:dyDescent="0.2">
      <c r="A1684" t="s">
        <v>1681</v>
      </c>
      <c r="B1684" t="s">
        <v>1401</v>
      </c>
      <c r="C1684" s="1" t="s">
        <v>1683</v>
      </c>
      <c r="D1684" s="130" t="s">
        <v>1159</v>
      </c>
      <c r="E1684" s="131" t="s">
        <v>1988</v>
      </c>
      <c r="F1684" s="131" t="s">
        <v>1989</v>
      </c>
      <c r="G1684" s="132" t="s">
        <v>1692</v>
      </c>
      <c r="H1684" s="159">
        <v>2E-3</v>
      </c>
      <c r="I1684" s="159"/>
      <c r="J1684" s="158"/>
      <c r="K1684" s="158"/>
      <c r="L1684" s="158"/>
      <c r="M1684" s="158"/>
      <c r="N1684" s="158"/>
      <c r="O1684" s="158"/>
      <c r="P1684" s="153"/>
      <c r="Q1684" s="35"/>
    </row>
    <row r="1685" spans="1:17" s="14" customFormat="1" x14ac:dyDescent="0.2">
      <c r="A1685" t="s">
        <v>1681</v>
      </c>
      <c r="B1685" t="s">
        <v>1401</v>
      </c>
      <c r="C1685" s="14" t="s">
        <v>24</v>
      </c>
      <c r="D1685" s="134" t="s">
        <v>1160</v>
      </c>
      <c r="E1685" s="135" t="s">
        <v>18</v>
      </c>
      <c r="F1685" s="160" t="s">
        <v>23</v>
      </c>
      <c r="G1685" s="135" t="s">
        <v>24</v>
      </c>
      <c r="H1685" s="158">
        <v>1569.4</v>
      </c>
      <c r="I1685" s="158">
        <v>3.1387999999999998</v>
      </c>
      <c r="J1685" s="158">
        <v>22914.53</v>
      </c>
      <c r="K1685" s="158">
        <f t="shared" ref="K1685:K1701" si="345">+J1685*I1685</f>
        <v>71924.126763999986</v>
      </c>
      <c r="L1685" s="158">
        <f t="shared" ref="L1685:L1686" si="346">+J1685*I1685</f>
        <v>71924.126763999986</v>
      </c>
      <c r="M1685" s="158"/>
      <c r="N1685" s="158"/>
      <c r="O1685" s="158"/>
      <c r="P1685" s="154"/>
    </row>
    <row r="1686" spans="1:17" s="16" customFormat="1" x14ac:dyDescent="0.2">
      <c r="A1686" t="s">
        <v>1681</v>
      </c>
      <c r="B1686" t="s">
        <v>1401</v>
      </c>
      <c r="C1686" s="14" t="s">
        <v>24</v>
      </c>
      <c r="D1686" s="134" t="s">
        <v>1161</v>
      </c>
      <c r="E1686" s="135" t="s">
        <v>52</v>
      </c>
      <c r="F1686" s="160" t="s">
        <v>1687</v>
      </c>
      <c r="G1686" s="135" t="s">
        <v>24</v>
      </c>
      <c r="H1686" s="158">
        <v>100.68</v>
      </c>
      <c r="I1686" s="158">
        <v>0.20136000000000001</v>
      </c>
      <c r="J1686" s="158"/>
      <c r="K1686" s="158">
        <f t="shared" si="345"/>
        <v>0</v>
      </c>
      <c r="L1686" s="158">
        <f t="shared" si="346"/>
        <v>0</v>
      </c>
      <c r="M1686" s="158"/>
      <c r="N1686" s="158"/>
      <c r="O1686" s="158"/>
      <c r="P1686" s="156"/>
    </row>
    <row r="1687" spans="1:17" s="15" customFormat="1" x14ac:dyDescent="0.2">
      <c r="A1687" t="s">
        <v>1681</v>
      </c>
      <c r="B1687" t="s">
        <v>1401</v>
      </c>
      <c r="C1687" s="124" t="s">
        <v>28</v>
      </c>
      <c r="D1687" s="138" t="s">
        <v>1162</v>
      </c>
      <c r="E1687" s="139" t="s">
        <v>262</v>
      </c>
      <c r="F1687" s="161" t="s">
        <v>263</v>
      </c>
      <c r="G1687" s="139" t="s">
        <v>28</v>
      </c>
      <c r="H1687" s="162">
        <v>0.27</v>
      </c>
      <c r="I1687" s="162">
        <v>5.4000000000000001E-4</v>
      </c>
      <c r="J1687" s="158">
        <v>140201</v>
      </c>
      <c r="K1687" s="158">
        <f t="shared" si="345"/>
        <v>75.708539999999999</v>
      </c>
      <c r="L1687" s="158"/>
      <c r="M1687" s="158">
        <f t="shared" ref="M1687:M1692" si="347">+J1687*I1687</f>
        <v>75.708539999999999</v>
      </c>
      <c r="N1687" s="158"/>
      <c r="O1687" s="158"/>
      <c r="P1687" s="155"/>
    </row>
    <row r="1688" spans="1:17" s="15" customFormat="1" x14ac:dyDescent="0.2">
      <c r="A1688" t="s">
        <v>1681</v>
      </c>
      <c r="B1688" t="s">
        <v>1401</v>
      </c>
      <c r="C1688" s="124" t="s">
        <v>28</v>
      </c>
      <c r="D1688" s="138" t="s">
        <v>1163</v>
      </c>
      <c r="E1688" s="139" t="s">
        <v>1728</v>
      </c>
      <c r="F1688" s="161" t="s">
        <v>1729</v>
      </c>
      <c r="G1688" s="139" t="s">
        <v>28</v>
      </c>
      <c r="H1688" s="162">
        <v>61.88</v>
      </c>
      <c r="I1688" s="162">
        <v>0.12376</v>
      </c>
      <c r="J1688" s="158">
        <v>1592</v>
      </c>
      <c r="K1688" s="158">
        <f t="shared" si="345"/>
        <v>197.02591999999999</v>
      </c>
      <c r="L1688" s="158"/>
      <c r="M1688" s="158">
        <f t="shared" si="347"/>
        <v>197.02591999999999</v>
      </c>
      <c r="N1688" s="158"/>
      <c r="O1688" s="158"/>
      <c r="P1688" s="155"/>
    </row>
    <row r="1689" spans="1:17" s="15" customFormat="1" ht="24" x14ac:dyDescent="0.2">
      <c r="A1689" t="s">
        <v>1681</v>
      </c>
      <c r="B1689" t="s">
        <v>1401</v>
      </c>
      <c r="C1689" s="124" t="s">
        <v>28</v>
      </c>
      <c r="D1689" s="138" t="s">
        <v>1164</v>
      </c>
      <c r="E1689" s="139" t="s">
        <v>876</v>
      </c>
      <c r="F1689" s="161" t="s">
        <v>877</v>
      </c>
      <c r="G1689" s="139" t="s">
        <v>28</v>
      </c>
      <c r="H1689" s="162">
        <v>96.14</v>
      </c>
      <c r="I1689" s="162">
        <v>0.19228000000000001</v>
      </c>
      <c r="J1689" s="158">
        <v>239461</v>
      </c>
      <c r="K1689" s="158">
        <f t="shared" si="345"/>
        <v>46043.561079999999</v>
      </c>
      <c r="L1689" s="158"/>
      <c r="M1689" s="158">
        <f t="shared" si="347"/>
        <v>46043.561079999999</v>
      </c>
      <c r="N1689" s="158"/>
      <c r="O1689" s="158"/>
      <c r="P1689" s="155"/>
    </row>
    <row r="1690" spans="1:17" s="15" customFormat="1" x14ac:dyDescent="0.2">
      <c r="A1690" t="s">
        <v>1681</v>
      </c>
      <c r="B1690" t="s">
        <v>1401</v>
      </c>
      <c r="C1690" s="124" t="s">
        <v>28</v>
      </c>
      <c r="D1690" s="138" t="s">
        <v>1165</v>
      </c>
      <c r="E1690" s="139" t="s">
        <v>1767</v>
      </c>
      <c r="F1690" s="161" t="s">
        <v>1768</v>
      </c>
      <c r="G1690" s="139" t="s">
        <v>28</v>
      </c>
      <c r="H1690" s="162">
        <v>1.9</v>
      </c>
      <c r="I1690" s="162">
        <v>3.8E-3</v>
      </c>
      <c r="J1690" s="158">
        <v>1349</v>
      </c>
      <c r="K1690" s="158">
        <f t="shared" si="345"/>
        <v>5.1261999999999999</v>
      </c>
      <c r="L1690" s="158"/>
      <c r="M1690" s="158">
        <f t="shared" si="347"/>
        <v>5.1261999999999999</v>
      </c>
      <c r="N1690" s="158"/>
      <c r="O1690" s="158"/>
      <c r="P1690" s="155"/>
    </row>
    <row r="1691" spans="1:17" s="15" customFormat="1" x14ac:dyDescent="0.2">
      <c r="A1691" t="s">
        <v>1681</v>
      </c>
      <c r="B1691" t="s">
        <v>1401</v>
      </c>
      <c r="C1691" s="124" t="s">
        <v>28</v>
      </c>
      <c r="D1691" s="138" t="s">
        <v>1166</v>
      </c>
      <c r="E1691" s="139" t="s">
        <v>98</v>
      </c>
      <c r="F1691" s="161" t="s">
        <v>99</v>
      </c>
      <c r="G1691" s="139" t="s">
        <v>28</v>
      </c>
      <c r="H1691" s="162">
        <v>124.95</v>
      </c>
      <c r="I1691" s="162">
        <v>0.24990000000000001</v>
      </c>
      <c r="J1691" s="158">
        <v>6858</v>
      </c>
      <c r="K1691" s="158">
        <f t="shared" si="345"/>
        <v>1713.8142</v>
      </c>
      <c r="L1691" s="158"/>
      <c r="M1691" s="158">
        <f t="shared" si="347"/>
        <v>1713.8142</v>
      </c>
      <c r="N1691" s="158"/>
      <c r="O1691" s="158"/>
      <c r="P1691" s="155"/>
    </row>
    <row r="1692" spans="1:17" s="15" customFormat="1" x14ac:dyDescent="0.2">
      <c r="A1692" t="s">
        <v>1681</v>
      </c>
      <c r="B1692" t="s">
        <v>1401</v>
      </c>
      <c r="C1692" s="124" t="s">
        <v>28</v>
      </c>
      <c r="D1692" s="138" t="s">
        <v>2186</v>
      </c>
      <c r="E1692" s="139" t="s">
        <v>30</v>
      </c>
      <c r="F1692" s="161" t="s">
        <v>31</v>
      </c>
      <c r="G1692" s="139" t="s">
        <v>28</v>
      </c>
      <c r="H1692" s="162">
        <v>4.2699999999999996</v>
      </c>
      <c r="I1692" s="162">
        <v>8.5400000000000007E-3</v>
      </c>
      <c r="J1692" s="158">
        <v>106655</v>
      </c>
      <c r="K1692" s="158">
        <f t="shared" si="345"/>
        <v>910.83370000000002</v>
      </c>
      <c r="L1692" s="158"/>
      <c r="M1692" s="158">
        <f t="shared" si="347"/>
        <v>910.83370000000002</v>
      </c>
      <c r="N1692" s="158"/>
      <c r="O1692" s="158"/>
      <c r="P1692" s="155"/>
    </row>
    <row r="1693" spans="1:17" s="16" customFormat="1" x14ac:dyDescent="0.2">
      <c r="A1693" t="s">
        <v>1681</v>
      </c>
      <c r="B1693" t="s">
        <v>1401</v>
      </c>
      <c r="C1693" s="16" t="s">
        <v>1723</v>
      </c>
      <c r="D1693" s="142" t="s">
        <v>2187</v>
      </c>
      <c r="E1693" s="143" t="s">
        <v>1990</v>
      </c>
      <c r="F1693" s="164" t="s">
        <v>1991</v>
      </c>
      <c r="G1693" s="143" t="s">
        <v>420</v>
      </c>
      <c r="H1693" s="165">
        <v>101.5</v>
      </c>
      <c r="I1693" s="165">
        <v>0.20300000000000001</v>
      </c>
      <c r="J1693" s="158">
        <v>473214</v>
      </c>
      <c r="K1693" s="158">
        <f t="shared" si="345"/>
        <v>96062.44200000001</v>
      </c>
      <c r="L1693" s="158"/>
      <c r="M1693" s="158"/>
      <c r="N1693" s="158">
        <f t="shared" ref="N1693:N1701" si="348">+J1693*I1693</f>
        <v>96062.44200000001</v>
      </c>
      <c r="O1693" s="158"/>
      <c r="P1693" s="156"/>
    </row>
    <row r="1694" spans="1:17" s="16" customFormat="1" x14ac:dyDescent="0.2">
      <c r="A1694" t="s">
        <v>1681</v>
      </c>
      <c r="B1694" t="s">
        <v>1401</v>
      </c>
      <c r="C1694" s="16" t="s">
        <v>1723</v>
      </c>
      <c r="D1694" s="142" t="s">
        <v>2188</v>
      </c>
      <c r="E1694" s="143" t="s">
        <v>124</v>
      </c>
      <c r="F1694" s="164" t="s">
        <v>125</v>
      </c>
      <c r="G1694" s="143" t="s">
        <v>107</v>
      </c>
      <c r="H1694" s="165">
        <v>4.4999999999999998E-2</v>
      </c>
      <c r="I1694" s="165">
        <v>9.0000000000000006E-5</v>
      </c>
      <c r="J1694" s="158">
        <v>9500000</v>
      </c>
      <c r="K1694" s="158">
        <f t="shared" si="345"/>
        <v>855</v>
      </c>
      <c r="L1694" s="158"/>
      <c r="M1694" s="158"/>
      <c r="N1694" s="158">
        <f t="shared" si="348"/>
        <v>855</v>
      </c>
      <c r="O1694" s="158"/>
      <c r="P1694" s="156"/>
    </row>
    <row r="1695" spans="1:17" s="16" customFormat="1" x14ac:dyDescent="0.2">
      <c r="A1695" t="s">
        <v>1681</v>
      </c>
      <c r="B1695" t="s">
        <v>1401</v>
      </c>
      <c r="C1695" s="16" t="s">
        <v>1723</v>
      </c>
      <c r="D1695" s="142" t="s">
        <v>2189</v>
      </c>
      <c r="E1695" s="143" t="s">
        <v>195</v>
      </c>
      <c r="F1695" s="164" t="s">
        <v>196</v>
      </c>
      <c r="G1695" s="143" t="s">
        <v>107</v>
      </c>
      <c r="H1695" s="165">
        <v>8.4000000000000005E-2</v>
      </c>
      <c r="I1695" s="165">
        <v>1.6799999999999999E-4</v>
      </c>
      <c r="J1695" s="158">
        <v>300000</v>
      </c>
      <c r="K1695" s="158">
        <f t="shared" si="345"/>
        <v>50.4</v>
      </c>
      <c r="L1695" s="158"/>
      <c r="M1695" s="158"/>
      <c r="N1695" s="158">
        <f t="shared" si="348"/>
        <v>50.4</v>
      </c>
      <c r="O1695" s="158"/>
      <c r="P1695" s="156"/>
    </row>
    <row r="1696" spans="1:17" s="16" customFormat="1" x14ac:dyDescent="0.2">
      <c r="A1696" t="s">
        <v>1681</v>
      </c>
      <c r="B1696" t="s">
        <v>1401</v>
      </c>
      <c r="C1696" s="16" t="s">
        <v>1723</v>
      </c>
      <c r="D1696" s="142" t="s">
        <v>2190</v>
      </c>
      <c r="E1696" s="143" t="s">
        <v>693</v>
      </c>
      <c r="F1696" s="164" t="s">
        <v>694</v>
      </c>
      <c r="G1696" s="143" t="s">
        <v>107</v>
      </c>
      <c r="H1696" s="165">
        <v>0.15</v>
      </c>
      <c r="I1696" s="165">
        <v>2.9999999999999997E-4</v>
      </c>
      <c r="J1696" s="158">
        <v>11250000</v>
      </c>
      <c r="K1696" s="158">
        <f t="shared" si="345"/>
        <v>3374.9999999999995</v>
      </c>
      <c r="L1696" s="158"/>
      <c r="M1696" s="158"/>
      <c r="N1696" s="158">
        <f t="shared" si="348"/>
        <v>3374.9999999999995</v>
      </c>
      <c r="O1696" s="158"/>
      <c r="P1696" s="156"/>
    </row>
    <row r="1697" spans="1:17" s="16" customFormat="1" ht="24" x14ac:dyDescent="0.2">
      <c r="A1697" t="s">
        <v>1681</v>
      </c>
      <c r="B1697" t="s">
        <v>1401</v>
      </c>
      <c r="C1697" s="16" t="s">
        <v>1723</v>
      </c>
      <c r="D1697" s="142" t="s">
        <v>2191</v>
      </c>
      <c r="E1697" s="143" t="s">
        <v>1995</v>
      </c>
      <c r="F1697" s="164" t="s">
        <v>1996</v>
      </c>
      <c r="G1697" s="143" t="s">
        <v>420</v>
      </c>
      <c r="H1697" s="165">
        <v>1.7</v>
      </c>
      <c r="I1697" s="165">
        <v>3.3999999999999998E-3</v>
      </c>
      <c r="J1697" s="158">
        <v>4107143</v>
      </c>
      <c r="K1697" s="158">
        <f t="shared" si="345"/>
        <v>13964.286199999999</v>
      </c>
      <c r="L1697" s="158"/>
      <c r="M1697" s="158"/>
      <c r="N1697" s="158">
        <f t="shared" si="348"/>
        <v>13964.286199999999</v>
      </c>
      <c r="O1697" s="158"/>
      <c r="P1697" s="156"/>
    </row>
    <row r="1698" spans="1:17" s="16" customFormat="1" ht="24" x14ac:dyDescent="0.2">
      <c r="A1698" t="s">
        <v>1681</v>
      </c>
      <c r="B1698" t="s">
        <v>1401</v>
      </c>
      <c r="C1698" s="16" t="s">
        <v>1723</v>
      </c>
      <c r="D1698" s="142" t="s">
        <v>2192</v>
      </c>
      <c r="E1698" s="143" t="s">
        <v>1998</v>
      </c>
      <c r="F1698" s="164" t="s">
        <v>1999</v>
      </c>
      <c r="G1698" s="143" t="s">
        <v>420</v>
      </c>
      <c r="H1698" s="165">
        <v>0.25</v>
      </c>
      <c r="I1698" s="165">
        <v>5.0000000000000001E-4</v>
      </c>
      <c r="J1698" s="158">
        <v>4107143</v>
      </c>
      <c r="K1698" s="158">
        <f t="shared" si="345"/>
        <v>2053.5715</v>
      </c>
      <c r="L1698" s="158"/>
      <c r="M1698" s="158"/>
      <c r="N1698" s="158">
        <f t="shared" si="348"/>
        <v>2053.5715</v>
      </c>
      <c r="O1698" s="158"/>
      <c r="P1698" s="156"/>
    </row>
    <row r="1699" spans="1:17" s="16" customFormat="1" x14ac:dyDescent="0.2">
      <c r="A1699" t="s">
        <v>1681</v>
      </c>
      <c r="B1699" t="s">
        <v>1401</v>
      </c>
      <c r="C1699" s="16" t="s">
        <v>1723</v>
      </c>
      <c r="D1699" s="142" t="s">
        <v>2193</v>
      </c>
      <c r="E1699" s="143" t="s">
        <v>1808</v>
      </c>
      <c r="F1699" s="164" t="s">
        <v>1809</v>
      </c>
      <c r="G1699" s="143" t="s">
        <v>38</v>
      </c>
      <c r="H1699" s="165">
        <v>135</v>
      </c>
      <c r="I1699" s="165">
        <v>0.27</v>
      </c>
      <c r="J1699" s="158">
        <v>102678</v>
      </c>
      <c r="K1699" s="158">
        <f t="shared" si="345"/>
        <v>27723.06</v>
      </c>
      <c r="L1699" s="158"/>
      <c r="M1699" s="158"/>
      <c r="N1699" s="158">
        <f t="shared" si="348"/>
        <v>27723.06</v>
      </c>
      <c r="O1699" s="158"/>
      <c r="P1699" s="156"/>
    </row>
    <row r="1700" spans="1:17" s="1" customFormat="1" x14ac:dyDescent="0.2">
      <c r="A1700" t="s">
        <v>1681</v>
      </c>
      <c r="B1700" t="s">
        <v>1401</v>
      </c>
      <c r="C1700" s="16" t="s">
        <v>1723</v>
      </c>
      <c r="D1700" s="130" t="s">
        <v>1170</v>
      </c>
      <c r="E1700" s="131" t="s">
        <v>1781</v>
      </c>
      <c r="F1700" s="131" t="s">
        <v>2001</v>
      </c>
      <c r="G1700" s="132" t="s">
        <v>107</v>
      </c>
      <c r="H1700" s="159">
        <v>1.1000000000000001E-3</v>
      </c>
      <c r="I1700" s="159">
        <f t="shared" ref="I1700:I1701" si="349">+H1700</f>
        <v>1.1000000000000001E-3</v>
      </c>
      <c r="J1700" s="166">
        <v>7812501</v>
      </c>
      <c r="K1700" s="166">
        <f t="shared" si="345"/>
        <v>8593.7511000000013</v>
      </c>
      <c r="L1700" s="158"/>
      <c r="M1700" s="158"/>
      <c r="N1700" s="166">
        <f t="shared" si="348"/>
        <v>8593.7511000000013</v>
      </c>
      <c r="O1700" s="158"/>
      <c r="P1700" s="153"/>
    </row>
    <row r="1701" spans="1:17" s="1" customFormat="1" x14ac:dyDescent="0.2">
      <c r="A1701" t="s">
        <v>1681</v>
      </c>
      <c r="B1701" t="s">
        <v>1401</v>
      </c>
      <c r="C1701" s="16" t="s">
        <v>1723</v>
      </c>
      <c r="D1701" s="130" t="s">
        <v>1199</v>
      </c>
      <c r="E1701" s="131" t="s">
        <v>1781</v>
      </c>
      <c r="F1701" s="131" t="s">
        <v>1783</v>
      </c>
      <c r="G1701" s="132" t="s">
        <v>107</v>
      </c>
      <c r="H1701" s="159">
        <v>2.3E-3</v>
      </c>
      <c r="I1701" s="159">
        <f t="shared" si="349"/>
        <v>2.3E-3</v>
      </c>
      <c r="J1701" s="166">
        <v>8322279</v>
      </c>
      <c r="K1701" s="166">
        <f t="shared" si="345"/>
        <v>19141.241699999999</v>
      </c>
      <c r="L1701" s="158"/>
      <c r="M1701" s="158"/>
      <c r="N1701" s="166">
        <f t="shared" si="348"/>
        <v>19141.241699999999</v>
      </c>
      <c r="O1701" s="158"/>
      <c r="P1701" s="153"/>
    </row>
    <row r="1702" spans="1:17" s="1" customFormat="1" x14ac:dyDescent="0.2">
      <c r="A1702" t="s">
        <v>1681</v>
      </c>
      <c r="B1702" t="s">
        <v>1401</v>
      </c>
      <c r="C1702" s="1" t="s">
        <v>1683</v>
      </c>
      <c r="D1702" s="130" t="s">
        <v>1204</v>
      </c>
      <c r="E1702" s="131" t="s">
        <v>2014</v>
      </c>
      <c r="F1702" s="131" t="s">
        <v>2040</v>
      </c>
      <c r="G1702" s="132" t="s">
        <v>420</v>
      </c>
      <c r="H1702" s="159">
        <v>7.4300000000000005E-2</v>
      </c>
      <c r="I1702" s="159"/>
      <c r="J1702" s="158"/>
      <c r="K1702" s="158"/>
      <c r="L1702" s="158"/>
      <c r="M1702" s="158"/>
      <c r="N1702" s="158"/>
      <c r="O1702" s="158"/>
      <c r="P1702" s="153"/>
      <c r="Q1702" s="35"/>
    </row>
    <row r="1703" spans="1:17" s="14" customFormat="1" x14ac:dyDescent="0.2">
      <c r="A1703" t="s">
        <v>1681</v>
      </c>
      <c r="B1703" t="s">
        <v>1401</v>
      </c>
      <c r="C1703" s="14" t="s">
        <v>24</v>
      </c>
      <c r="D1703" s="134" t="s">
        <v>1206</v>
      </c>
      <c r="E1703" s="135" t="s">
        <v>18</v>
      </c>
      <c r="F1703" s="160" t="s">
        <v>23</v>
      </c>
      <c r="G1703" s="135" t="s">
        <v>24</v>
      </c>
      <c r="H1703" s="158">
        <v>24.09</v>
      </c>
      <c r="I1703" s="158">
        <v>1.7899</v>
      </c>
      <c r="J1703" s="158">
        <v>22914.53</v>
      </c>
      <c r="K1703" s="158">
        <f t="shared" ref="K1703:K1716" si="350">+J1703*I1703</f>
        <v>41014.717247</v>
      </c>
      <c r="L1703" s="158">
        <f t="shared" ref="L1703:L1704" si="351">+J1703*I1703</f>
        <v>41014.717247</v>
      </c>
      <c r="M1703" s="158"/>
      <c r="N1703" s="158"/>
      <c r="O1703" s="158"/>
      <c r="P1703" s="154"/>
    </row>
    <row r="1704" spans="1:17" s="16" customFormat="1" x14ac:dyDescent="0.2">
      <c r="A1704" t="s">
        <v>1681</v>
      </c>
      <c r="B1704" t="s">
        <v>1401</v>
      </c>
      <c r="C1704" s="14" t="s">
        <v>24</v>
      </c>
      <c r="D1704" s="134" t="s">
        <v>1207</v>
      </c>
      <c r="E1704" s="135" t="s">
        <v>52</v>
      </c>
      <c r="F1704" s="160" t="s">
        <v>1687</v>
      </c>
      <c r="G1704" s="135" t="s">
        <v>24</v>
      </c>
      <c r="H1704" s="158">
        <v>0.37</v>
      </c>
      <c r="I1704" s="158">
        <v>2.7491000000000002E-2</v>
      </c>
      <c r="J1704" s="158"/>
      <c r="K1704" s="158">
        <f t="shared" si="350"/>
        <v>0</v>
      </c>
      <c r="L1704" s="158">
        <f t="shared" si="351"/>
        <v>0</v>
      </c>
      <c r="M1704" s="158"/>
      <c r="N1704" s="158"/>
      <c r="O1704" s="158"/>
      <c r="P1704" s="156"/>
    </row>
    <row r="1705" spans="1:17" s="15" customFormat="1" ht="24" x14ac:dyDescent="0.2">
      <c r="A1705" t="s">
        <v>1681</v>
      </c>
      <c r="B1705" t="s">
        <v>1401</v>
      </c>
      <c r="C1705" s="124" t="s">
        <v>28</v>
      </c>
      <c r="D1705" s="138" t="s">
        <v>1208</v>
      </c>
      <c r="E1705" s="139" t="s">
        <v>876</v>
      </c>
      <c r="F1705" s="161" t="s">
        <v>877</v>
      </c>
      <c r="G1705" s="139" t="s">
        <v>28</v>
      </c>
      <c r="H1705" s="162">
        <v>0.15</v>
      </c>
      <c r="I1705" s="162">
        <v>1.1145E-2</v>
      </c>
      <c r="J1705" s="158">
        <v>239461</v>
      </c>
      <c r="K1705" s="158">
        <f t="shared" si="350"/>
        <v>2668.7928449999999</v>
      </c>
      <c r="L1705" s="158"/>
      <c r="M1705" s="158">
        <f t="shared" ref="M1705:M1707" si="352">+J1705*I1705</f>
        <v>2668.7928449999999</v>
      </c>
      <c r="N1705" s="158"/>
      <c r="O1705" s="158"/>
      <c r="P1705" s="155"/>
    </row>
    <row r="1706" spans="1:17" s="15" customFormat="1" x14ac:dyDescent="0.2">
      <c r="A1706" t="s">
        <v>1681</v>
      </c>
      <c r="B1706" t="s">
        <v>1401</v>
      </c>
      <c r="C1706" s="124" t="s">
        <v>28</v>
      </c>
      <c r="D1706" s="138" t="s">
        <v>1209</v>
      </c>
      <c r="E1706" s="139" t="s">
        <v>2020</v>
      </c>
      <c r="F1706" s="161" t="s">
        <v>2021</v>
      </c>
      <c r="G1706" s="139" t="s">
        <v>28</v>
      </c>
      <c r="H1706" s="162">
        <v>0.44</v>
      </c>
      <c r="I1706" s="162">
        <v>3.2691999999999999E-2</v>
      </c>
      <c r="J1706" s="158">
        <v>2211</v>
      </c>
      <c r="K1706" s="158">
        <f t="shared" si="350"/>
        <v>72.282011999999995</v>
      </c>
      <c r="L1706" s="158"/>
      <c r="M1706" s="158">
        <f t="shared" si="352"/>
        <v>72.282011999999995</v>
      </c>
      <c r="N1706" s="158"/>
      <c r="O1706" s="158"/>
      <c r="P1706" s="155"/>
    </row>
    <row r="1707" spans="1:17" s="15" customFormat="1" x14ac:dyDescent="0.2">
      <c r="A1707" t="s">
        <v>1681</v>
      </c>
      <c r="B1707" t="s">
        <v>1401</v>
      </c>
      <c r="C1707" s="124" t="s">
        <v>28</v>
      </c>
      <c r="D1707" s="138" t="s">
        <v>1210</v>
      </c>
      <c r="E1707" s="139" t="s">
        <v>30</v>
      </c>
      <c r="F1707" s="161" t="s">
        <v>31</v>
      </c>
      <c r="G1707" s="139" t="s">
        <v>28</v>
      </c>
      <c r="H1707" s="162">
        <v>0.22</v>
      </c>
      <c r="I1707" s="162">
        <v>1.6345999999999999E-2</v>
      </c>
      <c r="J1707" s="158">
        <v>106655</v>
      </c>
      <c r="K1707" s="158">
        <f t="shared" si="350"/>
        <v>1743.3826299999998</v>
      </c>
      <c r="L1707" s="158"/>
      <c r="M1707" s="158">
        <f t="shared" si="352"/>
        <v>1743.3826299999998</v>
      </c>
      <c r="N1707" s="158"/>
      <c r="O1707" s="158"/>
      <c r="P1707" s="155"/>
    </row>
    <row r="1708" spans="1:17" s="16" customFormat="1" x14ac:dyDescent="0.2">
      <c r="A1708" t="s">
        <v>1681</v>
      </c>
      <c r="B1708" t="s">
        <v>1401</v>
      </c>
      <c r="C1708" s="16" t="s">
        <v>1723</v>
      </c>
      <c r="D1708" s="142" t="s">
        <v>2194</v>
      </c>
      <c r="E1708" s="143" t="s">
        <v>124</v>
      </c>
      <c r="F1708" s="164" t="s">
        <v>125</v>
      </c>
      <c r="G1708" s="143" t="s">
        <v>107</v>
      </c>
      <c r="H1708" s="165">
        <v>7.1999999999999998E-3</v>
      </c>
      <c r="I1708" s="165">
        <v>5.3499999999999999E-4</v>
      </c>
      <c r="J1708" s="158">
        <v>9500000</v>
      </c>
      <c r="K1708" s="158">
        <f t="shared" si="350"/>
        <v>5082.5</v>
      </c>
      <c r="L1708" s="158"/>
      <c r="M1708" s="158"/>
      <c r="N1708" s="158">
        <f t="shared" ref="N1708:N1716" si="353">+J1708*I1708</f>
        <v>5082.5</v>
      </c>
      <c r="O1708" s="158"/>
      <c r="P1708" s="156"/>
    </row>
    <row r="1709" spans="1:17" s="16" customFormat="1" ht="24" x14ac:dyDescent="0.2">
      <c r="A1709" t="s">
        <v>1681</v>
      </c>
      <c r="B1709" t="s">
        <v>1401</v>
      </c>
      <c r="C1709" s="16" t="s">
        <v>1723</v>
      </c>
      <c r="D1709" s="142" t="s">
        <v>2195</v>
      </c>
      <c r="E1709" s="143" t="s">
        <v>2025</v>
      </c>
      <c r="F1709" s="164" t="s">
        <v>2026</v>
      </c>
      <c r="G1709" s="143" t="s">
        <v>38</v>
      </c>
      <c r="H1709" s="165">
        <v>3.38</v>
      </c>
      <c r="I1709" s="165">
        <v>0.25113400000000002</v>
      </c>
      <c r="J1709" s="158">
        <v>3500</v>
      </c>
      <c r="K1709" s="158">
        <f t="shared" si="350"/>
        <v>878.96900000000005</v>
      </c>
      <c r="L1709" s="158"/>
      <c r="M1709" s="158"/>
      <c r="N1709" s="158">
        <f t="shared" si="353"/>
        <v>878.96900000000005</v>
      </c>
      <c r="O1709" s="158"/>
      <c r="P1709" s="156"/>
    </row>
    <row r="1710" spans="1:17" s="16" customFormat="1" x14ac:dyDescent="0.2">
      <c r="A1710" t="s">
        <v>1681</v>
      </c>
      <c r="B1710" t="s">
        <v>1401</v>
      </c>
      <c r="C1710" s="16" t="s">
        <v>1723</v>
      </c>
      <c r="D1710" s="142" t="s">
        <v>2196</v>
      </c>
      <c r="E1710" s="143" t="s">
        <v>1185</v>
      </c>
      <c r="F1710" s="164" t="s">
        <v>1186</v>
      </c>
      <c r="G1710" s="143" t="s">
        <v>107</v>
      </c>
      <c r="H1710" s="165">
        <v>4.3800000000000002E-3</v>
      </c>
      <c r="I1710" s="165">
        <v>3.2499999999999999E-4</v>
      </c>
      <c r="J1710" s="158">
        <v>7812501</v>
      </c>
      <c r="K1710" s="158">
        <f t="shared" si="350"/>
        <v>2539.062825</v>
      </c>
      <c r="L1710" s="158"/>
      <c r="M1710" s="158"/>
      <c r="N1710" s="158">
        <f t="shared" si="353"/>
        <v>2539.062825</v>
      </c>
      <c r="O1710" s="158"/>
      <c r="P1710" s="156"/>
    </row>
    <row r="1711" spans="1:17" s="16" customFormat="1" ht="24" x14ac:dyDescent="0.2">
      <c r="A1711" t="s">
        <v>1681</v>
      </c>
      <c r="B1711" t="s">
        <v>1401</v>
      </c>
      <c r="C1711" s="16" t="s">
        <v>1723</v>
      </c>
      <c r="D1711" s="142" t="s">
        <v>2197</v>
      </c>
      <c r="E1711" s="143" t="s">
        <v>2029</v>
      </c>
      <c r="F1711" s="164" t="s">
        <v>2030</v>
      </c>
      <c r="G1711" s="143" t="s">
        <v>420</v>
      </c>
      <c r="H1711" s="165">
        <v>0.16</v>
      </c>
      <c r="I1711" s="165">
        <v>1.1887999999999999E-2</v>
      </c>
      <c r="J1711" s="158">
        <v>4107143</v>
      </c>
      <c r="K1711" s="158">
        <f t="shared" si="350"/>
        <v>48825.715983999995</v>
      </c>
      <c r="L1711" s="158"/>
      <c r="M1711" s="158"/>
      <c r="N1711" s="158">
        <f t="shared" si="353"/>
        <v>48825.715983999995</v>
      </c>
      <c r="O1711" s="158"/>
      <c r="P1711" s="156"/>
    </row>
    <row r="1712" spans="1:17" s="16" customFormat="1" ht="24" x14ac:dyDescent="0.2">
      <c r="A1712" t="s">
        <v>1681</v>
      </c>
      <c r="B1712" t="s">
        <v>1401</v>
      </c>
      <c r="C1712" s="16" t="s">
        <v>1723</v>
      </c>
      <c r="D1712" s="142" t="s">
        <v>2198</v>
      </c>
      <c r="E1712" s="143" t="s">
        <v>2032</v>
      </c>
      <c r="F1712" s="164" t="s">
        <v>2033</v>
      </c>
      <c r="G1712" s="143" t="s">
        <v>420</v>
      </c>
      <c r="H1712" s="165">
        <v>0.06</v>
      </c>
      <c r="I1712" s="165">
        <v>4.4580000000000002E-3</v>
      </c>
      <c r="J1712" s="158">
        <v>4107143</v>
      </c>
      <c r="K1712" s="158">
        <f t="shared" si="350"/>
        <v>18309.643494</v>
      </c>
      <c r="L1712" s="158"/>
      <c r="M1712" s="158"/>
      <c r="N1712" s="158">
        <f t="shared" si="353"/>
        <v>18309.643494</v>
      </c>
      <c r="O1712" s="158"/>
      <c r="P1712" s="156"/>
    </row>
    <row r="1713" spans="1:17" s="16" customFormat="1" ht="24" x14ac:dyDescent="0.2">
      <c r="A1713" t="s">
        <v>1681</v>
      </c>
      <c r="B1713" t="s">
        <v>1401</v>
      </c>
      <c r="C1713" s="16" t="s">
        <v>1723</v>
      </c>
      <c r="D1713" s="142" t="s">
        <v>2199</v>
      </c>
      <c r="E1713" s="143" t="s">
        <v>2035</v>
      </c>
      <c r="F1713" s="164" t="s">
        <v>2036</v>
      </c>
      <c r="G1713" s="143" t="s">
        <v>420</v>
      </c>
      <c r="H1713" s="165">
        <v>0.83</v>
      </c>
      <c r="I1713" s="165">
        <v>6.1669000000000002E-2</v>
      </c>
      <c r="J1713" s="158">
        <v>4107143</v>
      </c>
      <c r="K1713" s="158">
        <f t="shared" si="350"/>
        <v>253283.401667</v>
      </c>
      <c r="L1713" s="158"/>
      <c r="M1713" s="158"/>
      <c r="N1713" s="158">
        <f t="shared" si="353"/>
        <v>253283.401667</v>
      </c>
      <c r="O1713" s="158"/>
      <c r="P1713" s="156"/>
    </row>
    <row r="1714" spans="1:17" s="16" customFormat="1" x14ac:dyDescent="0.2">
      <c r="A1714" t="s">
        <v>1681</v>
      </c>
      <c r="B1714" t="s">
        <v>1401</v>
      </c>
      <c r="C1714" s="16" t="s">
        <v>1723</v>
      </c>
      <c r="D1714" s="142" t="s">
        <v>2200</v>
      </c>
      <c r="E1714" s="143" t="s">
        <v>2038</v>
      </c>
      <c r="F1714" s="164" t="s">
        <v>2039</v>
      </c>
      <c r="G1714" s="143" t="s">
        <v>107</v>
      </c>
      <c r="H1714" s="165">
        <v>1.9599999999999999E-3</v>
      </c>
      <c r="I1714" s="165">
        <v>1.46E-4</v>
      </c>
      <c r="J1714" s="158">
        <v>1800000</v>
      </c>
      <c r="K1714" s="158">
        <f t="shared" si="350"/>
        <v>262.8</v>
      </c>
      <c r="L1714" s="158"/>
      <c r="M1714" s="158"/>
      <c r="N1714" s="158">
        <f t="shared" si="353"/>
        <v>262.8</v>
      </c>
      <c r="O1714" s="158"/>
      <c r="P1714" s="156"/>
    </row>
    <row r="1715" spans="1:17" s="1" customFormat="1" x14ac:dyDescent="0.2">
      <c r="A1715" t="s">
        <v>1681</v>
      </c>
      <c r="B1715" t="s">
        <v>1401</v>
      </c>
      <c r="C1715" s="16" t="s">
        <v>1723</v>
      </c>
      <c r="D1715" s="130" t="s">
        <v>1020</v>
      </c>
      <c r="E1715" s="131" t="s">
        <v>2165</v>
      </c>
      <c r="F1715" s="131" t="s">
        <v>2166</v>
      </c>
      <c r="G1715" s="132" t="s">
        <v>38</v>
      </c>
      <c r="H1715" s="159">
        <v>0.85</v>
      </c>
      <c r="I1715" s="159">
        <f t="shared" ref="I1715:I1716" si="354">+H1715</f>
        <v>0.85</v>
      </c>
      <c r="J1715" s="166">
        <v>75450</v>
      </c>
      <c r="K1715" s="166">
        <f t="shared" si="350"/>
        <v>64132.5</v>
      </c>
      <c r="L1715" s="158"/>
      <c r="M1715" s="158"/>
      <c r="N1715" s="166">
        <f t="shared" si="353"/>
        <v>64132.5</v>
      </c>
      <c r="O1715" s="158"/>
      <c r="P1715" s="153"/>
    </row>
    <row r="1716" spans="1:17" s="1" customFormat="1" x14ac:dyDescent="0.2">
      <c r="A1716" t="s">
        <v>1681</v>
      </c>
      <c r="B1716" t="s">
        <v>1401</v>
      </c>
      <c r="C1716" s="16" t="s">
        <v>1723</v>
      </c>
      <c r="D1716" s="130" t="s">
        <v>1274</v>
      </c>
      <c r="E1716" s="131" t="s">
        <v>1781</v>
      </c>
      <c r="F1716" s="131" t="s">
        <v>2167</v>
      </c>
      <c r="G1716" s="132" t="s">
        <v>107</v>
      </c>
      <c r="H1716" s="159">
        <v>4.6000000000000001E-4</v>
      </c>
      <c r="I1716" s="159">
        <f t="shared" si="354"/>
        <v>4.6000000000000001E-4</v>
      </c>
      <c r="J1716" s="166">
        <v>8036000</v>
      </c>
      <c r="K1716" s="166">
        <f t="shared" si="350"/>
        <v>3696.56</v>
      </c>
      <c r="L1716" s="158"/>
      <c r="M1716" s="158"/>
      <c r="N1716" s="166">
        <f t="shared" si="353"/>
        <v>3696.56</v>
      </c>
      <c r="O1716" s="158"/>
      <c r="P1716" s="153"/>
    </row>
    <row r="1717" spans="1:17" ht="15.75" x14ac:dyDescent="0.25">
      <c r="A1717" t="s">
        <v>1681</v>
      </c>
      <c r="B1717" t="s">
        <v>1401</v>
      </c>
      <c r="D1717" s="151" t="s">
        <v>2201</v>
      </c>
      <c r="E1717" s="128"/>
      <c r="F1717" s="163"/>
      <c r="G1717" s="128"/>
      <c r="H1717" s="128"/>
      <c r="I1717" s="128"/>
      <c r="J1717" s="158"/>
      <c r="K1717" s="158"/>
      <c r="L1717" s="158"/>
      <c r="M1717" s="158"/>
      <c r="N1717" s="158"/>
      <c r="O1717" s="158"/>
      <c r="P1717" s="152"/>
    </row>
    <row r="1718" spans="1:17" s="1" customFormat="1" ht="15.75" customHeight="1" x14ac:dyDescent="0.2">
      <c r="A1718" t="s">
        <v>1681</v>
      </c>
      <c r="B1718" t="s">
        <v>1401</v>
      </c>
      <c r="C1718" s="1" t="s">
        <v>1683</v>
      </c>
      <c r="D1718" s="130" t="s">
        <v>1299</v>
      </c>
      <c r="E1718" s="131" t="s">
        <v>1914</v>
      </c>
      <c r="F1718" s="131" t="s">
        <v>1915</v>
      </c>
      <c r="G1718" s="132" t="s">
        <v>420</v>
      </c>
      <c r="H1718" s="159">
        <v>15.9</v>
      </c>
      <c r="I1718" s="159"/>
      <c r="J1718" s="158"/>
      <c r="K1718" s="158"/>
      <c r="L1718" s="158"/>
      <c r="M1718" s="158"/>
      <c r="N1718" s="158"/>
      <c r="O1718" s="158"/>
      <c r="P1718" s="153"/>
      <c r="Q1718" s="35"/>
    </row>
    <row r="1719" spans="1:17" s="14" customFormat="1" x14ac:dyDescent="0.2">
      <c r="A1719" t="s">
        <v>1681</v>
      </c>
      <c r="B1719" t="s">
        <v>1401</v>
      </c>
      <c r="C1719" s="14" t="s">
        <v>24</v>
      </c>
      <c r="D1719" s="134" t="s">
        <v>1302</v>
      </c>
      <c r="E1719" s="135" t="s">
        <v>18</v>
      </c>
      <c r="F1719" s="160" t="s">
        <v>23</v>
      </c>
      <c r="G1719" s="135" t="s">
        <v>24</v>
      </c>
      <c r="H1719" s="158">
        <v>2.5</v>
      </c>
      <c r="I1719" s="158">
        <v>39.75</v>
      </c>
      <c r="J1719" s="158">
        <v>22914.53</v>
      </c>
      <c r="K1719" s="158">
        <f t="shared" ref="K1719:K1723" si="355">+J1719*I1719</f>
        <v>910852.5675</v>
      </c>
      <c r="L1719" s="158">
        <f t="shared" ref="L1719:L1720" si="356">+J1719*I1719</f>
        <v>910852.5675</v>
      </c>
      <c r="M1719" s="158"/>
      <c r="N1719" s="158"/>
      <c r="O1719" s="158"/>
      <c r="P1719" s="154"/>
    </row>
    <row r="1720" spans="1:17" s="16" customFormat="1" x14ac:dyDescent="0.2">
      <c r="A1720" t="s">
        <v>1681</v>
      </c>
      <c r="B1720" t="s">
        <v>1401</v>
      </c>
      <c r="C1720" s="14" t="s">
        <v>24</v>
      </c>
      <c r="D1720" s="134" t="s">
        <v>2202</v>
      </c>
      <c r="E1720" s="135" t="s">
        <v>52</v>
      </c>
      <c r="F1720" s="160" t="s">
        <v>1687</v>
      </c>
      <c r="G1720" s="135" t="s">
        <v>24</v>
      </c>
      <c r="H1720" s="158">
        <v>0.08</v>
      </c>
      <c r="I1720" s="158">
        <v>1.272</v>
      </c>
      <c r="J1720" s="158"/>
      <c r="K1720" s="158">
        <f t="shared" si="355"/>
        <v>0</v>
      </c>
      <c r="L1720" s="158">
        <f t="shared" si="356"/>
        <v>0</v>
      </c>
      <c r="M1720" s="158"/>
      <c r="N1720" s="158"/>
      <c r="O1720" s="158"/>
      <c r="P1720" s="156"/>
    </row>
    <row r="1721" spans="1:17" s="15" customFormat="1" x14ac:dyDescent="0.2">
      <c r="A1721" t="s">
        <v>1681</v>
      </c>
      <c r="B1721" t="s">
        <v>1401</v>
      </c>
      <c r="C1721" s="124" t="s">
        <v>28</v>
      </c>
      <c r="D1721" s="138" t="s">
        <v>2203</v>
      </c>
      <c r="E1721" s="139" t="s">
        <v>1357</v>
      </c>
      <c r="F1721" s="161" t="s">
        <v>1916</v>
      </c>
      <c r="G1721" s="139" t="s">
        <v>28</v>
      </c>
      <c r="H1721" s="162">
        <v>0.08</v>
      </c>
      <c r="I1721" s="162">
        <v>1.272</v>
      </c>
      <c r="J1721" s="158">
        <v>130229</v>
      </c>
      <c r="K1721" s="158">
        <f t="shared" si="355"/>
        <v>165651.288</v>
      </c>
      <c r="L1721" s="158"/>
      <c r="M1721" s="158">
        <f t="shared" ref="M1721:M1722" si="357">+J1721*I1721</f>
        <v>165651.288</v>
      </c>
      <c r="N1721" s="158"/>
      <c r="O1721" s="158"/>
      <c r="P1721" s="155"/>
    </row>
    <row r="1722" spans="1:17" s="15" customFormat="1" x14ac:dyDescent="0.2">
      <c r="A1722" t="s">
        <v>1681</v>
      </c>
      <c r="B1722" t="s">
        <v>1401</v>
      </c>
      <c r="C1722" s="124" t="s">
        <v>28</v>
      </c>
      <c r="D1722" s="138" t="s">
        <v>2204</v>
      </c>
      <c r="E1722" s="139" t="s">
        <v>1917</v>
      </c>
      <c r="F1722" s="161" t="s">
        <v>1918</v>
      </c>
      <c r="G1722" s="139" t="s">
        <v>28</v>
      </c>
      <c r="H1722" s="162">
        <v>0.92</v>
      </c>
      <c r="I1722" s="162">
        <v>14.628</v>
      </c>
      <c r="J1722" s="158">
        <v>1270</v>
      </c>
      <c r="K1722" s="158">
        <f t="shared" si="355"/>
        <v>18577.560000000001</v>
      </c>
      <c r="L1722" s="158"/>
      <c r="M1722" s="158">
        <f t="shared" si="357"/>
        <v>18577.560000000001</v>
      </c>
      <c r="N1722" s="158"/>
      <c r="O1722" s="158"/>
      <c r="P1722" s="155"/>
    </row>
    <row r="1723" spans="1:17" s="16" customFormat="1" x14ac:dyDescent="0.2">
      <c r="A1723" t="s">
        <v>1681</v>
      </c>
      <c r="B1723" t="s">
        <v>1401</v>
      </c>
      <c r="C1723" s="16" t="s">
        <v>1723</v>
      </c>
      <c r="D1723" s="142" t="s">
        <v>2205</v>
      </c>
      <c r="E1723" s="143" t="s">
        <v>1919</v>
      </c>
      <c r="F1723" s="164" t="s">
        <v>1920</v>
      </c>
      <c r="G1723" s="143" t="s">
        <v>420</v>
      </c>
      <c r="H1723" s="165">
        <v>1.28</v>
      </c>
      <c r="I1723" s="165">
        <v>20.352</v>
      </c>
      <c r="J1723" s="158">
        <v>25754</v>
      </c>
      <c r="K1723" s="158">
        <f t="shared" si="355"/>
        <v>524145.408</v>
      </c>
      <c r="L1723" s="158"/>
      <c r="M1723" s="158"/>
      <c r="N1723" s="158">
        <f t="shared" ref="N1723" si="358">+J1723*I1723</f>
        <v>524145.408</v>
      </c>
      <c r="O1723" s="158"/>
      <c r="P1723" s="156"/>
    </row>
    <row r="1724" spans="1:17" s="1" customFormat="1" ht="25.5" x14ac:dyDescent="0.2">
      <c r="A1724" t="s">
        <v>1681</v>
      </c>
      <c r="B1724" t="s">
        <v>1401</v>
      </c>
      <c r="C1724" s="1" t="s">
        <v>1683</v>
      </c>
      <c r="D1724" s="130" t="s">
        <v>1303</v>
      </c>
      <c r="E1724" s="131" t="s">
        <v>1726</v>
      </c>
      <c r="F1724" s="131" t="s">
        <v>1727</v>
      </c>
      <c r="G1724" s="132" t="s">
        <v>1692</v>
      </c>
      <c r="H1724" s="159">
        <v>0.14000000000000001</v>
      </c>
      <c r="I1724" s="159"/>
      <c r="J1724" s="158"/>
      <c r="K1724" s="158"/>
      <c r="L1724" s="158"/>
      <c r="M1724" s="158"/>
      <c r="N1724" s="158"/>
      <c r="O1724" s="158"/>
      <c r="P1724" s="153"/>
      <c r="Q1724" s="35"/>
    </row>
    <row r="1725" spans="1:17" s="14" customFormat="1" x14ac:dyDescent="0.2">
      <c r="A1725" t="s">
        <v>1681</v>
      </c>
      <c r="B1725" t="s">
        <v>1401</v>
      </c>
      <c r="C1725" s="14" t="s">
        <v>24</v>
      </c>
      <c r="D1725" s="134" t="s">
        <v>2206</v>
      </c>
      <c r="E1725" s="135" t="s">
        <v>18</v>
      </c>
      <c r="F1725" s="160" t="s">
        <v>23</v>
      </c>
      <c r="G1725" s="135" t="s">
        <v>24</v>
      </c>
      <c r="H1725" s="158">
        <v>180</v>
      </c>
      <c r="I1725" s="158">
        <v>25.2</v>
      </c>
      <c r="J1725" s="158">
        <v>22914.53</v>
      </c>
      <c r="K1725" s="158">
        <f t="shared" ref="K1725:K1729" si="359">+J1725*I1725</f>
        <v>577446.15599999996</v>
      </c>
      <c r="L1725" s="158">
        <f t="shared" ref="L1725:L1726" si="360">+J1725*I1725</f>
        <v>577446.15599999996</v>
      </c>
      <c r="M1725" s="158"/>
      <c r="N1725" s="158"/>
      <c r="O1725" s="158"/>
      <c r="P1725" s="154"/>
    </row>
    <row r="1726" spans="1:17" s="16" customFormat="1" x14ac:dyDescent="0.2">
      <c r="A1726" t="s">
        <v>1681</v>
      </c>
      <c r="B1726" t="s">
        <v>1401</v>
      </c>
      <c r="C1726" s="14" t="s">
        <v>24</v>
      </c>
      <c r="D1726" s="134" t="s">
        <v>2207</v>
      </c>
      <c r="E1726" s="135" t="s">
        <v>52</v>
      </c>
      <c r="F1726" s="160" t="s">
        <v>1687</v>
      </c>
      <c r="G1726" s="135" t="s">
        <v>24</v>
      </c>
      <c r="H1726" s="158">
        <v>0.13</v>
      </c>
      <c r="I1726" s="158">
        <v>1.8200000000000001E-2</v>
      </c>
      <c r="J1726" s="158"/>
      <c r="K1726" s="158">
        <f t="shared" si="359"/>
        <v>0</v>
      </c>
      <c r="L1726" s="158">
        <f t="shared" si="360"/>
        <v>0</v>
      </c>
      <c r="M1726" s="158"/>
      <c r="N1726" s="158"/>
      <c r="O1726" s="158"/>
      <c r="P1726" s="156"/>
    </row>
    <row r="1727" spans="1:17" s="15" customFormat="1" x14ac:dyDescent="0.2">
      <c r="A1727" t="s">
        <v>1681</v>
      </c>
      <c r="B1727" t="s">
        <v>1401</v>
      </c>
      <c r="C1727" s="124" t="s">
        <v>28</v>
      </c>
      <c r="D1727" s="138" t="s">
        <v>2208</v>
      </c>
      <c r="E1727" s="139" t="s">
        <v>1728</v>
      </c>
      <c r="F1727" s="161" t="s">
        <v>1729</v>
      </c>
      <c r="G1727" s="139" t="s">
        <v>28</v>
      </c>
      <c r="H1727" s="162">
        <v>48</v>
      </c>
      <c r="I1727" s="162">
        <v>6.72</v>
      </c>
      <c r="J1727" s="158">
        <v>1592</v>
      </c>
      <c r="K1727" s="158">
        <f t="shared" si="359"/>
        <v>10698.24</v>
      </c>
      <c r="L1727" s="158"/>
      <c r="M1727" s="158">
        <f t="shared" ref="M1727:M1728" si="361">+J1727*I1727</f>
        <v>10698.24</v>
      </c>
      <c r="N1727" s="158"/>
      <c r="O1727" s="158"/>
      <c r="P1727" s="155"/>
    </row>
    <row r="1728" spans="1:17" s="15" customFormat="1" x14ac:dyDescent="0.2">
      <c r="A1728" t="s">
        <v>1681</v>
      </c>
      <c r="B1728" t="s">
        <v>1401</v>
      </c>
      <c r="C1728" s="124" t="s">
        <v>28</v>
      </c>
      <c r="D1728" s="138" t="s">
        <v>2209</v>
      </c>
      <c r="E1728" s="139" t="s">
        <v>30</v>
      </c>
      <c r="F1728" s="161" t="s">
        <v>31</v>
      </c>
      <c r="G1728" s="139" t="s">
        <v>28</v>
      </c>
      <c r="H1728" s="162">
        <v>0.13</v>
      </c>
      <c r="I1728" s="162">
        <v>1.8200000000000001E-2</v>
      </c>
      <c r="J1728" s="158">
        <v>106655</v>
      </c>
      <c r="K1728" s="158">
        <f t="shared" si="359"/>
        <v>1941.1210000000001</v>
      </c>
      <c r="L1728" s="158"/>
      <c r="M1728" s="158">
        <f t="shared" si="361"/>
        <v>1941.1210000000001</v>
      </c>
      <c r="N1728" s="158"/>
      <c r="O1728" s="158"/>
      <c r="P1728" s="155"/>
    </row>
    <row r="1729" spans="1:17" s="16" customFormat="1" x14ac:dyDescent="0.2">
      <c r="A1729" t="s">
        <v>1681</v>
      </c>
      <c r="B1729" t="s">
        <v>1401</v>
      </c>
      <c r="C1729" s="16" t="s">
        <v>1723</v>
      </c>
      <c r="D1729" s="142" t="s">
        <v>2210</v>
      </c>
      <c r="E1729" s="143" t="s">
        <v>418</v>
      </c>
      <c r="F1729" s="164" t="s">
        <v>419</v>
      </c>
      <c r="G1729" s="143" t="s">
        <v>420</v>
      </c>
      <c r="H1729" s="165">
        <v>102</v>
      </c>
      <c r="I1729" s="165">
        <v>14.28</v>
      </c>
      <c r="J1729" s="158">
        <v>325500</v>
      </c>
      <c r="K1729" s="158">
        <f t="shared" si="359"/>
        <v>4648140</v>
      </c>
      <c r="L1729" s="158"/>
      <c r="M1729" s="158"/>
      <c r="N1729" s="158">
        <f t="shared" ref="N1729" si="362">+J1729*I1729</f>
        <v>4648140</v>
      </c>
      <c r="O1729" s="158"/>
      <c r="P1729" s="156"/>
    </row>
    <row r="1730" spans="1:17" ht="15.75" x14ac:dyDescent="0.25">
      <c r="A1730" t="s">
        <v>1681</v>
      </c>
      <c r="B1730" t="s">
        <v>1401</v>
      </c>
      <c r="D1730" s="151" t="s">
        <v>2211</v>
      </c>
      <c r="E1730" s="128"/>
      <c r="F1730" s="163"/>
      <c r="G1730" s="128"/>
      <c r="H1730" s="128"/>
      <c r="I1730" s="128"/>
      <c r="J1730" s="158"/>
      <c r="K1730" s="158"/>
      <c r="L1730" s="158"/>
      <c r="M1730" s="158"/>
      <c r="N1730" s="158"/>
      <c r="O1730" s="158"/>
      <c r="P1730" s="152"/>
    </row>
    <row r="1731" spans="1:17" s="1" customFormat="1" ht="18.75" customHeight="1" x14ac:dyDescent="0.2">
      <c r="A1731" t="s">
        <v>1681</v>
      </c>
      <c r="B1731" t="s">
        <v>1401</v>
      </c>
      <c r="C1731" s="1" t="s">
        <v>1683</v>
      </c>
      <c r="D1731" s="130" t="s">
        <v>1309</v>
      </c>
      <c r="E1731" s="131" t="s">
        <v>2212</v>
      </c>
      <c r="F1731" s="131" t="s">
        <v>2213</v>
      </c>
      <c r="G1731" s="132" t="s">
        <v>420</v>
      </c>
      <c r="H1731" s="159">
        <v>1.4</v>
      </c>
      <c r="I1731" s="159"/>
      <c r="J1731" s="158"/>
      <c r="K1731" s="158"/>
      <c r="L1731" s="158"/>
      <c r="M1731" s="158"/>
      <c r="N1731" s="158"/>
      <c r="O1731" s="158"/>
      <c r="P1731" s="153"/>
      <c r="Q1731" s="35"/>
    </row>
    <row r="1732" spans="1:17" s="14" customFormat="1" x14ac:dyDescent="0.2">
      <c r="A1732" t="s">
        <v>1681</v>
      </c>
      <c r="B1732" t="s">
        <v>1401</v>
      </c>
      <c r="C1732" s="14" t="s">
        <v>24</v>
      </c>
      <c r="D1732" s="134" t="s">
        <v>2214</v>
      </c>
      <c r="E1732" s="135" t="s">
        <v>18</v>
      </c>
      <c r="F1732" s="160" t="s">
        <v>23</v>
      </c>
      <c r="G1732" s="135" t="s">
        <v>24</v>
      </c>
      <c r="H1732" s="158">
        <v>2.4</v>
      </c>
      <c r="I1732" s="158">
        <v>3.36</v>
      </c>
      <c r="J1732" s="158">
        <v>22914.53</v>
      </c>
      <c r="K1732" s="158">
        <f t="shared" ref="K1732:K1736" si="363">+J1732*I1732</f>
        <v>76992.820799999987</v>
      </c>
      <c r="L1732" s="158">
        <f t="shared" ref="L1732:L1733" si="364">+J1732*I1732</f>
        <v>76992.820799999987</v>
      </c>
      <c r="M1732" s="158"/>
      <c r="N1732" s="158"/>
      <c r="O1732" s="158"/>
      <c r="P1732" s="154"/>
    </row>
    <row r="1733" spans="1:17" s="16" customFormat="1" x14ac:dyDescent="0.2">
      <c r="A1733" t="s">
        <v>1681</v>
      </c>
      <c r="B1733" t="s">
        <v>1401</v>
      </c>
      <c r="C1733" s="14" t="s">
        <v>24</v>
      </c>
      <c r="D1733" s="134" t="s">
        <v>2215</v>
      </c>
      <c r="E1733" s="135" t="s">
        <v>52</v>
      </c>
      <c r="F1733" s="160" t="s">
        <v>1687</v>
      </c>
      <c r="G1733" s="135" t="s">
        <v>24</v>
      </c>
      <c r="H1733" s="158">
        <v>0.08</v>
      </c>
      <c r="I1733" s="158">
        <v>0.112</v>
      </c>
      <c r="J1733" s="158"/>
      <c r="K1733" s="158">
        <f t="shared" si="363"/>
        <v>0</v>
      </c>
      <c r="L1733" s="158">
        <f t="shared" si="364"/>
        <v>0</v>
      </c>
      <c r="M1733" s="158"/>
      <c r="N1733" s="158"/>
      <c r="O1733" s="158"/>
      <c r="P1733" s="156"/>
    </row>
    <row r="1734" spans="1:17" s="15" customFormat="1" x14ac:dyDescent="0.2">
      <c r="A1734" t="s">
        <v>1681</v>
      </c>
      <c r="B1734" t="s">
        <v>1401</v>
      </c>
      <c r="C1734" s="124" t="s">
        <v>28</v>
      </c>
      <c r="D1734" s="138" t="s">
        <v>2216</v>
      </c>
      <c r="E1734" s="139" t="s">
        <v>1357</v>
      </c>
      <c r="F1734" s="161" t="s">
        <v>1916</v>
      </c>
      <c r="G1734" s="139" t="s">
        <v>28</v>
      </c>
      <c r="H1734" s="162">
        <v>0.08</v>
      </c>
      <c r="I1734" s="162">
        <v>0.112</v>
      </c>
      <c r="J1734" s="158">
        <v>130229</v>
      </c>
      <c r="K1734" s="158">
        <f t="shared" si="363"/>
        <v>14585.648000000001</v>
      </c>
      <c r="L1734" s="158"/>
      <c r="M1734" s="158">
        <f t="shared" ref="M1734:M1735" si="365">+J1734*I1734</f>
        <v>14585.648000000001</v>
      </c>
      <c r="N1734" s="158"/>
      <c r="O1734" s="158"/>
      <c r="P1734" s="155"/>
    </row>
    <row r="1735" spans="1:17" s="15" customFormat="1" x14ac:dyDescent="0.2">
      <c r="A1735" t="s">
        <v>1681</v>
      </c>
      <c r="B1735" t="s">
        <v>1401</v>
      </c>
      <c r="C1735" s="124" t="s">
        <v>28</v>
      </c>
      <c r="D1735" s="138" t="s">
        <v>2217</v>
      </c>
      <c r="E1735" s="139" t="s">
        <v>1917</v>
      </c>
      <c r="F1735" s="161" t="s">
        <v>1918</v>
      </c>
      <c r="G1735" s="139" t="s">
        <v>28</v>
      </c>
      <c r="H1735" s="162">
        <v>0.92</v>
      </c>
      <c r="I1735" s="162">
        <v>1.288</v>
      </c>
      <c r="J1735" s="158">
        <v>1270</v>
      </c>
      <c r="K1735" s="158">
        <f t="shared" si="363"/>
        <v>1635.76</v>
      </c>
      <c r="L1735" s="158"/>
      <c r="M1735" s="158">
        <f t="shared" si="365"/>
        <v>1635.76</v>
      </c>
      <c r="N1735" s="158"/>
      <c r="O1735" s="158"/>
      <c r="P1735" s="155"/>
    </row>
    <row r="1736" spans="1:17" s="16" customFormat="1" x14ac:dyDescent="0.2">
      <c r="A1736" t="s">
        <v>1681</v>
      </c>
      <c r="B1736" t="s">
        <v>1401</v>
      </c>
      <c r="C1736" s="16" t="s">
        <v>1723</v>
      </c>
      <c r="D1736" s="142" t="s">
        <v>2218</v>
      </c>
      <c r="E1736" s="143" t="s">
        <v>2219</v>
      </c>
      <c r="F1736" s="164" t="s">
        <v>2220</v>
      </c>
      <c r="G1736" s="143" t="s">
        <v>420</v>
      </c>
      <c r="H1736" s="165">
        <v>1.3</v>
      </c>
      <c r="I1736" s="165">
        <v>1.82</v>
      </c>
      <c r="J1736" s="158">
        <v>62512</v>
      </c>
      <c r="K1736" s="158">
        <f t="shared" si="363"/>
        <v>113771.84000000001</v>
      </c>
      <c r="L1736" s="158"/>
      <c r="M1736" s="158"/>
      <c r="N1736" s="158">
        <f t="shared" ref="N1736" si="366">+J1736*I1736</f>
        <v>113771.84000000001</v>
      </c>
      <c r="O1736" s="158"/>
      <c r="P1736" s="156"/>
    </row>
    <row r="1737" spans="1:17" s="1" customFormat="1" ht="25.5" x14ac:dyDescent="0.2">
      <c r="A1737" t="s">
        <v>1681</v>
      </c>
      <c r="B1737" t="s">
        <v>1401</v>
      </c>
      <c r="C1737" s="1" t="s">
        <v>1683</v>
      </c>
      <c r="D1737" s="130" t="s">
        <v>1310</v>
      </c>
      <c r="E1737" s="131" t="s">
        <v>1726</v>
      </c>
      <c r="F1737" s="131" t="s">
        <v>1727</v>
      </c>
      <c r="G1737" s="132" t="s">
        <v>1692</v>
      </c>
      <c r="H1737" s="159">
        <v>8.0000000000000002E-3</v>
      </c>
      <c r="I1737" s="159"/>
      <c r="J1737" s="158"/>
      <c r="K1737" s="158"/>
      <c r="L1737" s="158"/>
      <c r="M1737" s="158"/>
      <c r="N1737" s="158"/>
      <c r="O1737" s="158"/>
      <c r="P1737" s="153"/>
      <c r="Q1737" s="35"/>
    </row>
    <row r="1738" spans="1:17" s="14" customFormat="1" x14ac:dyDescent="0.2">
      <c r="A1738" t="s">
        <v>1681</v>
      </c>
      <c r="B1738" t="s">
        <v>1401</v>
      </c>
      <c r="C1738" s="14" t="s">
        <v>24</v>
      </c>
      <c r="D1738" s="134" t="s">
        <v>2221</v>
      </c>
      <c r="E1738" s="135" t="s">
        <v>18</v>
      </c>
      <c r="F1738" s="160" t="s">
        <v>23</v>
      </c>
      <c r="G1738" s="135" t="s">
        <v>24</v>
      </c>
      <c r="H1738" s="158">
        <v>180</v>
      </c>
      <c r="I1738" s="158">
        <v>1.44</v>
      </c>
      <c r="J1738" s="158">
        <v>22914.53</v>
      </c>
      <c r="K1738" s="158">
        <f t="shared" ref="K1738:K1742" si="367">+J1738*I1738</f>
        <v>32996.923199999997</v>
      </c>
      <c r="L1738" s="158">
        <f t="shared" ref="L1738:L1739" si="368">+J1738*I1738</f>
        <v>32996.923199999997</v>
      </c>
      <c r="M1738" s="158"/>
      <c r="N1738" s="158"/>
      <c r="O1738" s="158"/>
      <c r="P1738" s="154"/>
    </row>
    <row r="1739" spans="1:17" s="16" customFormat="1" x14ac:dyDescent="0.2">
      <c r="A1739" t="s">
        <v>1681</v>
      </c>
      <c r="B1739" t="s">
        <v>1401</v>
      </c>
      <c r="C1739" s="14" t="s">
        <v>24</v>
      </c>
      <c r="D1739" s="134" t="s">
        <v>2222</v>
      </c>
      <c r="E1739" s="135" t="s">
        <v>52</v>
      </c>
      <c r="F1739" s="160" t="s">
        <v>1687</v>
      </c>
      <c r="G1739" s="135" t="s">
        <v>24</v>
      </c>
      <c r="H1739" s="158">
        <v>0.13</v>
      </c>
      <c r="I1739" s="158">
        <v>1.0399999999999999E-3</v>
      </c>
      <c r="J1739" s="158"/>
      <c r="K1739" s="158">
        <f t="shared" si="367"/>
        <v>0</v>
      </c>
      <c r="L1739" s="158">
        <f t="shared" si="368"/>
        <v>0</v>
      </c>
      <c r="M1739" s="158"/>
      <c r="N1739" s="158"/>
      <c r="O1739" s="158"/>
      <c r="P1739" s="156"/>
    </row>
    <row r="1740" spans="1:17" s="15" customFormat="1" x14ac:dyDescent="0.2">
      <c r="A1740" t="s">
        <v>1681</v>
      </c>
      <c r="B1740" t="s">
        <v>1401</v>
      </c>
      <c r="C1740" s="124" t="s">
        <v>28</v>
      </c>
      <c r="D1740" s="138" t="s">
        <v>2223</v>
      </c>
      <c r="E1740" s="139" t="s">
        <v>1728</v>
      </c>
      <c r="F1740" s="161" t="s">
        <v>1729</v>
      </c>
      <c r="G1740" s="139" t="s">
        <v>28</v>
      </c>
      <c r="H1740" s="162">
        <v>48</v>
      </c>
      <c r="I1740" s="162">
        <v>0.38400000000000001</v>
      </c>
      <c r="J1740" s="158">
        <v>1592</v>
      </c>
      <c r="K1740" s="158">
        <f t="shared" si="367"/>
        <v>611.32799999999997</v>
      </c>
      <c r="L1740" s="158"/>
      <c r="M1740" s="158">
        <f t="shared" ref="M1740:M1741" si="369">+J1740*I1740</f>
        <v>611.32799999999997</v>
      </c>
      <c r="N1740" s="158"/>
      <c r="O1740" s="158"/>
      <c r="P1740" s="155"/>
    </row>
    <row r="1741" spans="1:17" s="15" customFormat="1" x14ac:dyDescent="0.2">
      <c r="A1741" t="s">
        <v>1681</v>
      </c>
      <c r="B1741" t="s">
        <v>1401</v>
      </c>
      <c r="C1741" s="124" t="s">
        <v>28</v>
      </c>
      <c r="D1741" s="138" t="s">
        <v>2224</v>
      </c>
      <c r="E1741" s="139" t="s">
        <v>30</v>
      </c>
      <c r="F1741" s="161" t="s">
        <v>31</v>
      </c>
      <c r="G1741" s="139" t="s">
        <v>28</v>
      </c>
      <c r="H1741" s="162">
        <v>0.13</v>
      </c>
      <c r="I1741" s="162">
        <v>1.0399999999999999E-3</v>
      </c>
      <c r="J1741" s="158">
        <v>106655</v>
      </c>
      <c r="K1741" s="158">
        <f t="shared" si="367"/>
        <v>110.92119999999998</v>
      </c>
      <c r="L1741" s="158"/>
      <c r="M1741" s="158">
        <f t="shared" si="369"/>
        <v>110.92119999999998</v>
      </c>
      <c r="N1741" s="158"/>
      <c r="O1741" s="158"/>
      <c r="P1741" s="155"/>
    </row>
    <row r="1742" spans="1:17" s="16" customFormat="1" x14ac:dyDescent="0.2">
      <c r="A1742" t="s">
        <v>1681</v>
      </c>
      <c r="B1742" t="s">
        <v>1401</v>
      </c>
      <c r="C1742" s="16" t="s">
        <v>1723</v>
      </c>
      <c r="D1742" s="142" t="s">
        <v>2225</v>
      </c>
      <c r="E1742" s="143" t="s">
        <v>418</v>
      </c>
      <c r="F1742" s="164" t="s">
        <v>419</v>
      </c>
      <c r="G1742" s="143" t="s">
        <v>420</v>
      </c>
      <c r="H1742" s="165">
        <v>102</v>
      </c>
      <c r="I1742" s="165">
        <v>0.81599999999999995</v>
      </c>
      <c r="J1742" s="158">
        <v>325500</v>
      </c>
      <c r="K1742" s="158">
        <f t="shared" si="367"/>
        <v>265608</v>
      </c>
      <c r="L1742" s="158"/>
      <c r="M1742" s="158"/>
      <c r="N1742" s="158">
        <f t="shared" ref="N1742" si="370">+J1742*I1742</f>
        <v>265608</v>
      </c>
      <c r="O1742" s="158"/>
      <c r="P1742" s="156"/>
    </row>
    <row r="1743" spans="1:17" s="1" customFormat="1" ht="25.5" x14ac:dyDescent="0.2">
      <c r="A1743" t="s">
        <v>1681</v>
      </c>
      <c r="B1743" t="s">
        <v>1401</v>
      </c>
      <c r="C1743" s="1" t="s">
        <v>1683</v>
      </c>
      <c r="D1743" s="130" t="s">
        <v>1311</v>
      </c>
      <c r="E1743" s="131" t="s">
        <v>1789</v>
      </c>
      <c r="F1743" s="131" t="s">
        <v>1790</v>
      </c>
      <c r="G1743" s="132" t="s">
        <v>1692</v>
      </c>
      <c r="H1743" s="159">
        <v>0.104</v>
      </c>
      <c r="I1743" s="159"/>
      <c r="J1743" s="158"/>
      <c r="K1743" s="158"/>
      <c r="L1743" s="158"/>
      <c r="M1743" s="158"/>
      <c r="N1743" s="158"/>
      <c r="O1743" s="158"/>
      <c r="P1743" s="153"/>
      <c r="Q1743" s="35"/>
    </row>
    <row r="1744" spans="1:17" s="14" customFormat="1" x14ac:dyDescent="0.2">
      <c r="A1744" t="s">
        <v>1681</v>
      </c>
      <c r="B1744" t="s">
        <v>1401</v>
      </c>
      <c r="C1744" s="14" t="s">
        <v>24</v>
      </c>
      <c r="D1744" s="134" t="s">
        <v>2226</v>
      </c>
      <c r="E1744" s="135" t="s">
        <v>18</v>
      </c>
      <c r="F1744" s="160" t="s">
        <v>23</v>
      </c>
      <c r="G1744" s="135" t="s">
        <v>24</v>
      </c>
      <c r="H1744" s="158">
        <v>1666</v>
      </c>
      <c r="I1744" s="158">
        <v>173.26400000000001</v>
      </c>
      <c r="J1744" s="158">
        <v>22914.53</v>
      </c>
      <c r="K1744" s="158">
        <f t="shared" ref="K1744:K1756" si="371">+J1744*I1744</f>
        <v>3970263.12592</v>
      </c>
      <c r="L1744" s="158">
        <f t="shared" ref="L1744:L1745" si="372">+J1744*I1744</f>
        <v>3970263.12592</v>
      </c>
      <c r="M1744" s="158"/>
      <c r="N1744" s="158"/>
      <c r="O1744" s="158"/>
      <c r="P1744" s="154"/>
    </row>
    <row r="1745" spans="1:17" s="16" customFormat="1" x14ac:dyDescent="0.2">
      <c r="A1745" t="s">
        <v>1681</v>
      </c>
      <c r="B1745" t="s">
        <v>1401</v>
      </c>
      <c r="C1745" s="14" t="s">
        <v>24</v>
      </c>
      <c r="D1745" s="134" t="s">
        <v>2227</v>
      </c>
      <c r="E1745" s="135" t="s">
        <v>52</v>
      </c>
      <c r="F1745" s="160" t="s">
        <v>1687</v>
      </c>
      <c r="G1745" s="135" t="s">
        <v>24</v>
      </c>
      <c r="H1745" s="158">
        <v>1.99</v>
      </c>
      <c r="I1745" s="158">
        <v>0.20696000000000001</v>
      </c>
      <c r="J1745" s="158"/>
      <c r="K1745" s="158">
        <f t="shared" si="371"/>
        <v>0</v>
      </c>
      <c r="L1745" s="158">
        <f t="shared" si="372"/>
        <v>0</v>
      </c>
      <c r="M1745" s="158"/>
      <c r="N1745" s="158"/>
      <c r="O1745" s="158"/>
      <c r="P1745" s="156"/>
    </row>
    <row r="1746" spans="1:17" s="15" customFormat="1" x14ac:dyDescent="0.2">
      <c r="A1746" t="s">
        <v>1681</v>
      </c>
      <c r="B1746" t="s">
        <v>1401</v>
      </c>
      <c r="C1746" s="124" t="s">
        <v>28</v>
      </c>
      <c r="D1746" s="138" t="s">
        <v>2228</v>
      </c>
      <c r="E1746" s="139" t="s">
        <v>1728</v>
      </c>
      <c r="F1746" s="161" t="s">
        <v>1729</v>
      </c>
      <c r="G1746" s="139" t="s">
        <v>28</v>
      </c>
      <c r="H1746" s="162">
        <v>83.3</v>
      </c>
      <c r="I1746" s="162">
        <v>8.6631999999999998</v>
      </c>
      <c r="J1746" s="158">
        <v>1592</v>
      </c>
      <c r="K1746" s="158">
        <f t="shared" si="371"/>
        <v>13791.814399999999</v>
      </c>
      <c r="L1746" s="158"/>
      <c r="M1746" s="158">
        <f t="shared" ref="M1746:M1749" si="373">+J1746*I1746</f>
        <v>13791.814399999999</v>
      </c>
      <c r="N1746" s="158"/>
      <c r="O1746" s="158"/>
      <c r="P1746" s="155"/>
    </row>
    <row r="1747" spans="1:17" s="15" customFormat="1" x14ac:dyDescent="0.2">
      <c r="A1747" t="s">
        <v>1681</v>
      </c>
      <c r="B1747" t="s">
        <v>1401</v>
      </c>
      <c r="C1747" s="124" t="s">
        <v>28</v>
      </c>
      <c r="D1747" s="138" t="s">
        <v>2229</v>
      </c>
      <c r="E1747" s="139" t="s">
        <v>1767</v>
      </c>
      <c r="F1747" s="161" t="s">
        <v>1768</v>
      </c>
      <c r="G1747" s="139" t="s">
        <v>28</v>
      </c>
      <c r="H1747" s="162">
        <v>2.6</v>
      </c>
      <c r="I1747" s="162">
        <v>0.27039999999999997</v>
      </c>
      <c r="J1747" s="158">
        <v>1349</v>
      </c>
      <c r="K1747" s="158">
        <f t="shared" si="371"/>
        <v>364.76959999999997</v>
      </c>
      <c r="L1747" s="158"/>
      <c r="M1747" s="158">
        <f t="shared" si="373"/>
        <v>364.76959999999997</v>
      </c>
      <c r="N1747" s="158"/>
      <c r="O1747" s="158"/>
      <c r="P1747" s="155"/>
    </row>
    <row r="1748" spans="1:17" s="15" customFormat="1" x14ac:dyDescent="0.2">
      <c r="A1748" t="s">
        <v>1681</v>
      </c>
      <c r="B1748" t="s">
        <v>1401</v>
      </c>
      <c r="C1748" s="124" t="s">
        <v>28</v>
      </c>
      <c r="D1748" s="138" t="s">
        <v>2230</v>
      </c>
      <c r="E1748" s="139" t="s">
        <v>98</v>
      </c>
      <c r="F1748" s="161" t="s">
        <v>99</v>
      </c>
      <c r="G1748" s="139" t="s">
        <v>28</v>
      </c>
      <c r="H1748" s="162">
        <v>341.53</v>
      </c>
      <c r="I1748" s="162">
        <v>35.519100000000002</v>
      </c>
      <c r="J1748" s="158">
        <v>6858</v>
      </c>
      <c r="K1748" s="158">
        <f t="shared" si="371"/>
        <v>243589.9878</v>
      </c>
      <c r="L1748" s="158"/>
      <c r="M1748" s="158">
        <f t="shared" si="373"/>
        <v>243589.9878</v>
      </c>
      <c r="N1748" s="158"/>
      <c r="O1748" s="158"/>
      <c r="P1748" s="155"/>
    </row>
    <row r="1749" spans="1:17" s="15" customFormat="1" x14ac:dyDescent="0.2">
      <c r="A1749" t="s">
        <v>1681</v>
      </c>
      <c r="B1749" t="s">
        <v>1401</v>
      </c>
      <c r="C1749" s="124" t="s">
        <v>28</v>
      </c>
      <c r="D1749" s="138" t="s">
        <v>2231</v>
      </c>
      <c r="E1749" s="139" t="s">
        <v>30</v>
      </c>
      <c r="F1749" s="161" t="s">
        <v>31</v>
      </c>
      <c r="G1749" s="139" t="s">
        <v>28</v>
      </c>
      <c r="H1749" s="162">
        <v>1.99</v>
      </c>
      <c r="I1749" s="162">
        <v>0.20696000000000001</v>
      </c>
      <c r="J1749" s="158">
        <v>106655</v>
      </c>
      <c r="K1749" s="158">
        <f t="shared" si="371"/>
        <v>22073.318800000001</v>
      </c>
      <c r="L1749" s="158"/>
      <c r="M1749" s="158">
        <f t="shared" si="373"/>
        <v>22073.318800000001</v>
      </c>
      <c r="N1749" s="158"/>
      <c r="O1749" s="158"/>
      <c r="P1749" s="155"/>
    </row>
    <row r="1750" spans="1:17" s="16" customFormat="1" x14ac:dyDescent="0.2">
      <c r="A1750" t="s">
        <v>1681</v>
      </c>
      <c r="B1750" t="s">
        <v>1401</v>
      </c>
      <c r="C1750" s="16" t="s">
        <v>1723</v>
      </c>
      <c r="D1750" s="142" t="s">
        <v>2232</v>
      </c>
      <c r="E1750" s="143" t="s">
        <v>1990</v>
      </c>
      <c r="F1750" s="164" t="s">
        <v>1991</v>
      </c>
      <c r="G1750" s="143" t="s">
        <v>420</v>
      </c>
      <c r="H1750" s="165">
        <v>101.5</v>
      </c>
      <c r="I1750" s="165">
        <v>10.555999999999999</v>
      </c>
      <c r="J1750" s="158">
        <v>473214</v>
      </c>
      <c r="K1750" s="158">
        <f t="shared" si="371"/>
        <v>4995246.9839999992</v>
      </c>
      <c r="L1750" s="158"/>
      <c r="M1750" s="158"/>
      <c r="N1750" s="158">
        <f t="shared" ref="N1750:N1756" si="374">+J1750*I1750</f>
        <v>4995246.9839999992</v>
      </c>
      <c r="O1750" s="158"/>
      <c r="P1750" s="156"/>
    </row>
    <row r="1751" spans="1:17" s="16" customFormat="1" x14ac:dyDescent="0.2">
      <c r="A1751" t="s">
        <v>1681</v>
      </c>
      <c r="B1751" t="s">
        <v>1401</v>
      </c>
      <c r="C1751" s="16" t="s">
        <v>1723</v>
      </c>
      <c r="D1751" s="142" t="s">
        <v>2233</v>
      </c>
      <c r="E1751" s="143" t="s">
        <v>1177</v>
      </c>
      <c r="F1751" s="164" t="s">
        <v>1800</v>
      </c>
      <c r="G1751" s="143" t="s">
        <v>107</v>
      </c>
      <c r="H1751" s="165">
        <v>0.18</v>
      </c>
      <c r="I1751" s="165">
        <v>1.8720000000000001E-2</v>
      </c>
      <c r="J1751" s="158">
        <v>15402000</v>
      </c>
      <c r="K1751" s="158">
        <f t="shared" si="371"/>
        <v>288325.44</v>
      </c>
      <c r="L1751" s="158"/>
      <c r="M1751" s="158"/>
      <c r="N1751" s="158">
        <f t="shared" si="374"/>
        <v>288325.44</v>
      </c>
      <c r="O1751" s="158"/>
      <c r="P1751" s="156"/>
    </row>
    <row r="1752" spans="1:17" s="16" customFormat="1" x14ac:dyDescent="0.2">
      <c r="A1752" t="s">
        <v>1681</v>
      </c>
      <c r="B1752" t="s">
        <v>1401</v>
      </c>
      <c r="C1752" s="16" t="s">
        <v>1723</v>
      </c>
      <c r="D1752" s="142" t="s">
        <v>2234</v>
      </c>
      <c r="E1752" s="143" t="s">
        <v>124</v>
      </c>
      <c r="F1752" s="164" t="s">
        <v>125</v>
      </c>
      <c r="G1752" s="143" t="s">
        <v>107</v>
      </c>
      <c r="H1752" s="165">
        <v>0.128</v>
      </c>
      <c r="I1752" s="165">
        <v>1.3311999999999999E-2</v>
      </c>
      <c r="J1752" s="158">
        <v>9500000</v>
      </c>
      <c r="K1752" s="158">
        <f t="shared" si="371"/>
        <v>126463.99999999999</v>
      </c>
      <c r="L1752" s="158"/>
      <c r="M1752" s="158"/>
      <c r="N1752" s="158">
        <f t="shared" si="374"/>
        <v>126463.99999999999</v>
      </c>
      <c r="O1752" s="158"/>
      <c r="P1752" s="156"/>
    </row>
    <row r="1753" spans="1:17" s="16" customFormat="1" x14ac:dyDescent="0.2">
      <c r="A1753" t="s">
        <v>1681</v>
      </c>
      <c r="B1753" t="s">
        <v>1401</v>
      </c>
      <c r="C1753" s="16" t="s">
        <v>1723</v>
      </c>
      <c r="D1753" s="142" t="s">
        <v>2235</v>
      </c>
      <c r="E1753" s="143" t="s">
        <v>693</v>
      </c>
      <c r="F1753" s="164" t="s">
        <v>694</v>
      </c>
      <c r="G1753" s="143" t="s">
        <v>107</v>
      </c>
      <c r="H1753" s="165">
        <v>0.41</v>
      </c>
      <c r="I1753" s="165">
        <v>4.2639999999999997E-2</v>
      </c>
      <c r="J1753" s="158">
        <v>11250000</v>
      </c>
      <c r="K1753" s="158">
        <f t="shared" si="371"/>
        <v>479699.99999999994</v>
      </c>
      <c r="L1753" s="158"/>
      <c r="M1753" s="158"/>
      <c r="N1753" s="158">
        <f t="shared" si="374"/>
        <v>479699.99999999994</v>
      </c>
      <c r="O1753" s="158"/>
      <c r="P1753" s="156"/>
    </row>
    <row r="1754" spans="1:17" s="16" customFormat="1" ht="24" x14ac:dyDescent="0.2">
      <c r="A1754" t="s">
        <v>1681</v>
      </c>
      <c r="B1754" t="s">
        <v>1401</v>
      </c>
      <c r="C1754" s="16" t="s">
        <v>1723</v>
      </c>
      <c r="D1754" s="142" t="s">
        <v>2236</v>
      </c>
      <c r="E1754" s="143" t="s">
        <v>1804</v>
      </c>
      <c r="F1754" s="164" t="s">
        <v>1805</v>
      </c>
      <c r="G1754" s="143" t="s">
        <v>420</v>
      </c>
      <c r="H1754" s="165">
        <v>0.27</v>
      </c>
      <c r="I1754" s="165">
        <v>2.8080000000000001E-2</v>
      </c>
      <c r="J1754" s="158">
        <v>4107143</v>
      </c>
      <c r="K1754" s="158">
        <f t="shared" si="371"/>
        <v>115328.57544</v>
      </c>
      <c r="L1754" s="158"/>
      <c r="M1754" s="158"/>
      <c r="N1754" s="158">
        <f t="shared" si="374"/>
        <v>115328.57544</v>
      </c>
      <c r="O1754" s="158"/>
      <c r="P1754" s="156"/>
    </row>
    <row r="1755" spans="1:17" s="16" customFormat="1" ht="24" x14ac:dyDescent="0.2">
      <c r="A1755" t="s">
        <v>1681</v>
      </c>
      <c r="B1755" t="s">
        <v>1401</v>
      </c>
      <c r="C1755" s="16" t="s">
        <v>1723</v>
      </c>
      <c r="D1755" s="142" t="s">
        <v>2237</v>
      </c>
      <c r="E1755" s="143" t="s">
        <v>1776</v>
      </c>
      <c r="F1755" s="164" t="s">
        <v>1777</v>
      </c>
      <c r="G1755" s="143" t="s">
        <v>420</v>
      </c>
      <c r="H1755" s="165">
        <v>3.1</v>
      </c>
      <c r="I1755" s="165">
        <v>0.32240000000000002</v>
      </c>
      <c r="J1755" s="158">
        <v>4107143</v>
      </c>
      <c r="K1755" s="158">
        <f t="shared" si="371"/>
        <v>1324142.9032000001</v>
      </c>
      <c r="L1755" s="158"/>
      <c r="M1755" s="158"/>
      <c r="N1755" s="158">
        <f t="shared" si="374"/>
        <v>1324142.9032000001</v>
      </c>
      <c r="O1755" s="158"/>
      <c r="P1755" s="156"/>
    </row>
    <row r="1756" spans="1:17" s="16" customFormat="1" x14ac:dyDescent="0.2">
      <c r="A1756" t="s">
        <v>1681</v>
      </c>
      <c r="B1756" t="s">
        <v>1401</v>
      </c>
      <c r="C1756" s="16" t="s">
        <v>1723</v>
      </c>
      <c r="D1756" s="142" t="s">
        <v>2238</v>
      </c>
      <c r="E1756" s="143" t="s">
        <v>1808</v>
      </c>
      <c r="F1756" s="164" t="s">
        <v>1809</v>
      </c>
      <c r="G1756" s="143" t="s">
        <v>38</v>
      </c>
      <c r="H1756" s="165">
        <v>147</v>
      </c>
      <c r="I1756" s="165">
        <v>15.288</v>
      </c>
      <c r="J1756" s="158">
        <v>102678</v>
      </c>
      <c r="K1756" s="158">
        <f t="shared" si="371"/>
        <v>1569741.264</v>
      </c>
      <c r="L1756" s="158"/>
      <c r="M1756" s="158"/>
      <c r="N1756" s="158">
        <f t="shared" si="374"/>
        <v>1569741.264</v>
      </c>
      <c r="O1756" s="158"/>
      <c r="P1756" s="156"/>
    </row>
    <row r="1757" spans="1:17" s="1" customFormat="1" x14ac:dyDescent="0.2">
      <c r="A1757" t="s">
        <v>1681</v>
      </c>
      <c r="B1757" t="s">
        <v>1401</v>
      </c>
      <c r="C1757" s="16" t="s">
        <v>1723</v>
      </c>
      <c r="D1757" s="130" t="s">
        <v>1312</v>
      </c>
      <c r="E1757" s="131" t="s">
        <v>2239</v>
      </c>
      <c r="F1757" s="131" t="s">
        <v>1782</v>
      </c>
      <c r="G1757" s="132" t="s">
        <v>107</v>
      </c>
      <c r="H1757" s="159">
        <v>8.4080000000000002E-2</v>
      </c>
      <c r="I1757" s="159">
        <f>+H1757</f>
        <v>8.4080000000000002E-2</v>
      </c>
      <c r="J1757" s="166">
        <v>8482143</v>
      </c>
      <c r="K1757" s="166">
        <f>+J1757*I1757</f>
        <v>713178.58343999996</v>
      </c>
      <c r="L1757" s="158"/>
      <c r="M1757" s="158"/>
      <c r="N1757" s="166">
        <f>+J1757*I1757</f>
        <v>713178.58343999996</v>
      </c>
      <c r="O1757" s="158"/>
      <c r="P1757" s="153"/>
    </row>
    <row r="1758" spans="1:17" s="1" customFormat="1" ht="38.25" x14ac:dyDescent="0.2">
      <c r="A1758" t="s">
        <v>1681</v>
      </c>
      <c r="B1758" t="s">
        <v>1401</v>
      </c>
      <c r="C1758" s="1" t="s">
        <v>1683</v>
      </c>
      <c r="D1758" s="130" t="s">
        <v>1313</v>
      </c>
      <c r="E1758" s="131" t="s">
        <v>2240</v>
      </c>
      <c r="F1758" s="131" t="s">
        <v>2241</v>
      </c>
      <c r="G1758" s="132" t="s">
        <v>1733</v>
      </c>
      <c r="H1758" s="159">
        <v>0.37219999999999998</v>
      </c>
      <c r="I1758" s="159"/>
      <c r="J1758" s="158"/>
      <c r="K1758" s="158"/>
      <c r="L1758" s="158"/>
      <c r="M1758" s="158"/>
      <c r="N1758" s="158"/>
      <c r="O1758" s="158"/>
      <c r="P1758" s="153"/>
      <c r="Q1758" s="35"/>
    </row>
    <row r="1759" spans="1:17" s="14" customFormat="1" x14ac:dyDescent="0.2">
      <c r="A1759" t="s">
        <v>1681</v>
      </c>
      <c r="B1759" t="s">
        <v>1401</v>
      </c>
      <c r="C1759" s="14" t="s">
        <v>24</v>
      </c>
      <c r="D1759" s="134" t="s">
        <v>2242</v>
      </c>
      <c r="E1759" s="135" t="s">
        <v>18</v>
      </c>
      <c r="F1759" s="160" t="s">
        <v>23</v>
      </c>
      <c r="G1759" s="135" t="s">
        <v>24</v>
      </c>
      <c r="H1759" s="158">
        <v>29.9</v>
      </c>
      <c r="I1759" s="158">
        <v>11.1288</v>
      </c>
      <c r="J1759" s="158">
        <v>22914.53</v>
      </c>
      <c r="K1759" s="158">
        <f t="shared" ref="K1759:K1763" si="375">+J1759*I1759</f>
        <v>255011.221464</v>
      </c>
      <c r="L1759" s="158">
        <f t="shared" ref="L1759:L1760" si="376">+J1759*I1759</f>
        <v>255011.221464</v>
      </c>
      <c r="M1759" s="158"/>
      <c r="N1759" s="158"/>
      <c r="O1759" s="158"/>
      <c r="P1759" s="154"/>
    </row>
    <row r="1760" spans="1:17" s="16" customFormat="1" x14ac:dyDescent="0.2">
      <c r="A1760" t="s">
        <v>1681</v>
      </c>
      <c r="B1760" t="s">
        <v>1401</v>
      </c>
      <c r="C1760" s="14" t="s">
        <v>24</v>
      </c>
      <c r="D1760" s="134" t="s">
        <v>2243</v>
      </c>
      <c r="E1760" s="135" t="s">
        <v>52</v>
      </c>
      <c r="F1760" s="160" t="s">
        <v>1687</v>
      </c>
      <c r="G1760" s="135" t="s">
        <v>24</v>
      </c>
      <c r="H1760" s="158">
        <v>0.25</v>
      </c>
      <c r="I1760" s="158">
        <v>9.3049999999999994E-2</v>
      </c>
      <c r="J1760" s="158"/>
      <c r="K1760" s="158">
        <f t="shared" si="375"/>
        <v>0</v>
      </c>
      <c r="L1760" s="158">
        <f t="shared" si="376"/>
        <v>0</v>
      </c>
      <c r="M1760" s="158"/>
      <c r="N1760" s="158"/>
      <c r="O1760" s="158"/>
      <c r="P1760" s="156"/>
    </row>
    <row r="1761" spans="1:17" s="15" customFormat="1" x14ac:dyDescent="0.2">
      <c r="A1761" t="s">
        <v>1681</v>
      </c>
      <c r="B1761" t="s">
        <v>1401</v>
      </c>
      <c r="C1761" s="124" t="s">
        <v>28</v>
      </c>
      <c r="D1761" s="138" t="s">
        <v>2244</v>
      </c>
      <c r="E1761" s="139" t="s">
        <v>475</v>
      </c>
      <c r="F1761" s="161" t="s">
        <v>476</v>
      </c>
      <c r="G1761" s="139" t="s">
        <v>28</v>
      </c>
      <c r="H1761" s="162">
        <v>2</v>
      </c>
      <c r="I1761" s="162">
        <v>0.74439999999999995</v>
      </c>
      <c r="J1761" s="158">
        <v>6311</v>
      </c>
      <c r="K1761" s="158">
        <f t="shared" si="375"/>
        <v>4697.9083999999993</v>
      </c>
      <c r="L1761" s="158"/>
      <c r="M1761" s="158">
        <f t="shared" ref="M1761:M1762" si="377">+J1761*I1761</f>
        <v>4697.9083999999993</v>
      </c>
      <c r="N1761" s="158"/>
      <c r="O1761" s="158"/>
      <c r="P1761" s="155"/>
    </row>
    <row r="1762" spans="1:17" s="15" customFormat="1" x14ac:dyDescent="0.2">
      <c r="A1762" t="s">
        <v>1681</v>
      </c>
      <c r="B1762" t="s">
        <v>1401</v>
      </c>
      <c r="C1762" s="124" t="s">
        <v>28</v>
      </c>
      <c r="D1762" s="138" t="s">
        <v>2245</v>
      </c>
      <c r="E1762" s="139" t="s">
        <v>30</v>
      </c>
      <c r="F1762" s="161" t="s">
        <v>31</v>
      </c>
      <c r="G1762" s="139" t="s">
        <v>28</v>
      </c>
      <c r="H1762" s="162">
        <v>0.25</v>
      </c>
      <c r="I1762" s="162">
        <v>9.3049999999999994E-2</v>
      </c>
      <c r="J1762" s="158">
        <v>106655</v>
      </c>
      <c r="K1762" s="158">
        <f t="shared" si="375"/>
        <v>9924.2477499999986</v>
      </c>
      <c r="L1762" s="158"/>
      <c r="M1762" s="158">
        <f t="shared" si="377"/>
        <v>9924.2477499999986</v>
      </c>
      <c r="N1762" s="158"/>
      <c r="O1762" s="158"/>
      <c r="P1762" s="155"/>
    </row>
    <row r="1763" spans="1:17" s="16" customFormat="1" x14ac:dyDescent="0.2">
      <c r="A1763" t="s">
        <v>1681</v>
      </c>
      <c r="B1763" t="s">
        <v>1401</v>
      </c>
      <c r="C1763" s="16" t="s">
        <v>1723</v>
      </c>
      <c r="D1763" s="142" t="s">
        <v>2246</v>
      </c>
      <c r="E1763" s="143" t="s">
        <v>1753</v>
      </c>
      <c r="F1763" s="164" t="s">
        <v>1754</v>
      </c>
      <c r="G1763" s="143" t="s">
        <v>107</v>
      </c>
      <c r="H1763" s="165">
        <v>0.24399999999999999</v>
      </c>
      <c r="I1763" s="165">
        <v>9.0816999999999995E-2</v>
      </c>
      <c r="J1763" s="158">
        <v>8929000</v>
      </c>
      <c r="K1763" s="158">
        <f t="shared" si="375"/>
        <v>810904.9929999999</v>
      </c>
      <c r="L1763" s="158"/>
      <c r="M1763" s="158"/>
      <c r="N1763" s="158">
        <f t="shared" ref="N1763" si="378">+J1763*I1763</f>
        <v>810904.9929999999</v>
      </c>
      <c r="O1763" s="158"/>
      <c r="P1763" s="156"/>
    </row>
    <row r="1764" spans="1:17" s="1" customFormat="1" ht="38.25" x14ac:dyDescent="0.2">
      <c r="A1764" t="s">
        <v>1681</v>
      </c>
      <c r="B1764" t="s">
        <v>1401</v>
      </c>
      <c r="C1764" s="1" t="s">
        <v>1683</v>
      </c>
      <c r="D1764" s="130" t="s">
        <v>1314</v>
      </c>
      <c r="E1764" s="131" t="s">
        <v>2247</v>
      </c>
      <c r="F1764" s="131" t="s">
        <v>2248</v>
      </c>
      <c r="G1764" s="132" t="s">
        <v>1733</v>
      </c>
      <c r="H1764" s="159">
        <v>0.37219999999999998</v>
      </c>
      <c r="I1764" s="159"/>
      <c r="J1764" s="158"/>
      <c r="K1764" s="158"/>
      <c r="L1764" s="158"/>
      <c r="M1764" s="158"/>
      <c r="N1764" s="158"/>
      <c r="O1764" s="158"/>
      <c r="P1764" s="153"/>
      <c r="Q1764" s="35"/>
    </row>
    <row r="1765" spans="1:17" s="14" customFormat="1" x14ac:dyDescent="0.2">
      <c r="A1765" t="s">
        <v>1681</v>
      </c>
      <c r="B1765" t="s">
        <v>1401</v>
      </c>
      <c r="C1765" s="14" t="s">
        <v>24</v>
      </c>
      <c r="D1765" s="134" t="s">
        <v>2249</v>
      </c>
      <c r="E1765" s="135" t="s">
        <v>18</v>
      </c>
      <c r="F1765" s="160" t="s">
        <v>23</v>
      </c>
      <c r="G1765" s="135" t="s">
        <v>24</v>
      </c>
      <c r="H1765" s="158">
        <v>20.5</v>
      </c>
      <c r="I1765" s="158">
        <v>7.6300999999999997</v>
      </c>
      <c r="J1765" s="158">
        <v>22914.53</v>
      </c>
      <c r="K1765" s="158">
        <f t="shared" ref="K1765:K1769" si="379">+J1765*I1765</f>
        <v>174840.15535299998</v>
      </c>
      <c r="L1765" s="158">
        <f t="shared" ref="L1765:L1766" si="380">+J1765*I1765</f>
        <v>174840.15535299998</v>
      </c>
      <c r="M1765" s="158"/>
      <c r="N1765" s="158"/>
      <c r="O1765" s="158"/>
      <c r="P1765" s="154"/>
    </row>
    <row r="1766" spans="1:17" s="16" customFormat="1" x14ac:dyDescent="0.2">
      <c r="A1766" t="s">
        <v>1681</v>
      </c>
      <c r="B1766" t="s">
        <v>1401</v>
      </c>
      <c r="C1766" s="14" t="s">
        <v>24</v>
      </c>
      <c r="D1766" s="134" t="s">
        <v>2250</v>
      </c>
      <c r="E1766" s="135" t="s">
        <v>52</v>
      </c>
      <c r="F1766" s="160" t="s">
        <v>1687</v>
      </c>
      <c r="G1766" s="135" t="s">
        <v>24</v>
      </c>
      <c r="H1766" s="158">
        <v>0.14000000000000001</v>
      </c>
      <c r="I1766" s="158">
        <v>5.2108000000000002E-2</v>
      </c>
      <c r="J1766" s="158"/>
      <c r="K1766" s="158">
        <f t="shared" si="379"/>
        <v>0</v>
      </c>
      <c r="L1766" s="158">
        <f t="shared" si="380"/>
        <v>0</v>
      </c>
      <c r="M1766" s="158"/>
      <c r="N1766" s="158"/>
      <c r="O1766" s="158"/>
      <c r="P1766" s="156"/>
    </row>
    <row r="1767" spans="1:17" s="15" customFormat="1" x14ac:dyDescent="0.2">
      <c r="A1767" t="s">
        <v>1681</v>
      </c>
      <c r="B1767" t="s">
        <v>1401</v>
      </c>
      <c r="C1767" s="124" t="s">
        <v>28</v>
      </c>
      <c r="D1767" s="138" t="s">
        <v>2251</v>
      </c>
      <c r="E1767" s="139" t="s">
        <v>475</v>
      </c>
      <c r="F1767" s="161" t="s">
        <v>476</v>
      </c>
      <c r="G1767" s="139" t="s">
        <v>28</v>
      </c>
      <c r="H1767" s="162">
        <v>2</v>
      </c>
      <c r="I1767" s="162">
        <v>0.74439999999999995</v>
      </c>
      <c r="J1767" s="158">
        <v>6311</v>
      </c>
      <c r="K1767" s="158">
        <f t="shared" si="379"/>
        <v>4697.9083999999993</v>
      </c>
      <c r="L1767" s="158"/>
      <c r="M1767" s="158">
        <f t="shared" ref="M1767:M1768" si="381">+J1767*I1767</f>
        <v>4697.9083999999993</v>
      </c>
      <c r="N1767" s="158"/>
      <c r="O1767" s="158"/>
      <c r="P1767" s="155"/>
    </row>
    <row r="1768" spans="1:17" s="15" customFormat="1" x14ac:dyDescent="0.2">
      <c r="A1768" t="s">
        <v>1681</v>
      </c>
      <c r="B1768" t="s">
        <v>1401</v>
      </c>
      <c r="C1768" s="124" t="s">
        <v>28</v>
      </c>
      <c r="D1768" s="138" t="s">
        <v>2252</v>
      </c>
      <c r="E1768" s="139" t="s">
        <v>30</v>
      </c>
      <c r="F1768" s="161" t="s">
        <v>31</v>
      </c>
      <c r="G1768" s="139" t="s">
        <v>28</v>
      </c>
      <c r="H1768" s="162">
        <v>0.14000000000000001</v>
      </c>
      <c r="I1768" s="162">
        <v>5.2108000000000002E-2</v>
      </c>
      <c r="J1768" s="158">
        <v>106655</v>
      </c>
      <c r="K1768" s="158">
        <f t="shared" si="379"/>
        <v>5557.5787399999999</v>
      </c>
      <c r="L1768" s="158"/>
      <c r="M1768" s="158">
        <f t="shared" si="381"/>
        <v>5557.5787399999999</v>
      </c>
      <c r="N1768" s="158"/>
      <c r="O1768" s="158"/>
      <c r="P1768" s="155"/>
    </row>
    <row r="1769" spans="1:17" s="16" customFormat="1" x14ac:dyDescent="0.2">
      <c r="A1769" t="s">
        <v>1681</v>
      </c>
      <c r="B1769" t="s">
        <v>1401</v>
      </c>
      <c r="C1769" s="16" t="s">
        <v>1723</v>
      </c>
      <c r="D1769" s="142" t="s">
        <v>2253</v>
      </c>
      <c r="E1769" s="143" t="s">
        <v>1753</v>
      </c>
      <c r="F1769" s="164" t="s">
        <v>1754</v>
      </c>
      <c r="G1769" s="143" t="s">
        <v>107</v>
      </c>
      <c r="H1769" s="165">
        <v>0.24399999999999999</v>
      </c>
      <c r="I1769" s="165">
        <v>9.0816999999999995E-2</v>
      </c>
      <c r="J1769" s="158">
        <v>8929000</v>
      </c>
      <c r="K1769" s="158">
        <f t="shared" si="379"/>
        <v>810904.9929999999</v>
      </c>
      <c r="L1769" s="158"/>
      <c r="M1769" s="158"/>
      <c r="N1769" s="158">
        <f t="shared" ref="N1769" si="382">+J1769*I1769</f>
        <v>810904.9929999999</v>
      </c>
      <c r="O1769" s="158"/>
      <c r="P1769" s="156"/>
    </row>
    <row r="1770" spans="1:17" ht="15.75" x14ac:dyDescent="0.25">
      <c r="A1770" t="s">
        <v>1681</v>
      </c>
      <c r="B1770" t="s">
        <v>1401</v>
      </c>
      <c r="D1770" s="151" t="s">
        <v>2254</v>
      </c>
      <c r="E1770" s="128"/>
      <c r="F1770" s="163"/>
      <c r="G1770" s="128"/>
      <c r="H1770" s="128"/>
      <c r="I1770" s="128"/>
      <c r="J1770" s="158"/>
      <c r="K1770" s="158"/>
      <c r="L1770" s="158"/>
      <c r="M1770" s="158"/>
      <c r="N1770" s="158"/>
      <c r="O1770" s="158"/>
      <c r="P1770" s="152"/>
    </row>
    <row r="1771" spans="1:17" s="1" customFormat="1" ht="15.75" customHeight="1" x14ac:dyDescent="0.2">
      <c r="A1771" t="s">
        <v>1681</v>
      </c>
      <c r="B1771" t="s">
        <v>1401</v>
      </c>
      <c r="C1771" s="1" t="s">
        <v>1683</v>
      </c>
      <c r="D1771" s="130" t="s">
        <v>1315</v>
      </c>
      <c r="E1771" s="131" t="s">
        <v>2255</v>
      </c>
      <c r="F1771" s="131" t="s">
        <v>2256</v>
      </c>
      <c r="G1771" s="132" t="s">
        <v>107</v>
      </c>
      <c r="H1771" s="159">
        <v>0.28323999999999999</v>
      </c>
      <c r="I1771" s="159"/>
      <c r="J1771" s="158"/>
      <c r="K1771" s="158"/>
      <c r="L1771" s="158"/>
      <c r="M1771" s="158"/>
      <c r="N1771" s="158"/>
      <c r="O1771" s="158"/>
      <c r="P1771" s="153"/>
      <c r="Q1771" s="35"/>
    </row>
    <row r="1772" spans="1:17" s="14" customFormat="1" x14ac:dyDescent="0.2">
      <c r="A1772" t="s">
        <v>1681</v>
      </c>
      <c r="B1772" t="s">
        <v>1401</v>
      </c>
      <c r="C1772" s="14" t="s">
        <v>24</v>
      </c>
      <c r="D1772" s="134" t="s">
        <v>2257</v>
      </c>
      <c r="E1772" s="135" t="s">
        <v>18</v>
      </c>
      <c r="F1772" s="160" t="s">
        <v>23</v>
      </c>
      <c r="G1772" s="135" t="s">
        <v>24</v>
      </c>
      <c r="H1772" s="158">
        <v>21.5</v>
      </c>
      <c r="I1772" s="158">
        <v>6.0896999999999997</v>
      </c>
      <c r="J1772" s="158">
        <v>22914.53</v>
      </c>
      <c r="K1772" s="158">
        <f t="shared" ref="K1772:K1784" si="383">+J1772*I1772</f>
        <v>139542.61334099999</v>
      </c>
      <c r="L1772" s="158">
        <f t="shared" ref="L1772:L1773" si="384">+J1772*I1772</f>
        <v>139542.61334099999</v>
      </c>
      <c r="M1772" s="158"/>
      <c r="N1772" s="158"/>
      <c r="O1772" s="158"/>
      <c r="P1772" s="154"/>
    </row>
    <row r="1773" spans="1:17" s="16" customFormat="1" x14ac:dyDescent="0.2">
      <c r="A1773" t="s">
        <v>1681</v>
      </c>
      <c r="B1773" t="s">
        <v>1401</v>
      </c>
      <c r="C1773" s="14" t="s">
        <v>24</v>
      </c>
      <c r="D1773" s="134" t="s">
        <v>2258</v>
      </c>
      <c r="E1773" s="135" t="s">
        <v>52</v>
      </c>
      <c r="F1773" s="160" t="s">
        <v>1687</v>
      </c>
      <c r="G1773" s="135" t="s">
        <v>24</v>
      </c>
      <c r="H1773" s="158">
        <v>0.35</v>
      </c>
      <c r="I1773" s="158">
        <v>9.9134E-2</v>
      </c>
      <c r="J1773" s="158"/>
      <c r="K1773" s="158">
        <f t="shared" si="383"/>
        <v>0</v>
      </c>
      <c r="L1773" s="158">
        <f t="shared" si="384"/>
        <v>0</v>
      </c>
      <c r="M1773" s="158"/>
      <c r="N1773" s="158"/>
      <c r="O1773" s="158"/>
      <c r="P1773" s="156"/>
    </row>
    <row r="1774" spans="1:17" s="15" customFormat="1" ht="24" x14ac:dyDescent="0.2">
      <c r="A1774" t="s">
        <v>1681</v>
      </c>
      <c r="B1774" t="s">
        <v>1401</v>
      </c>
      <c r="C1774" s="124" t="s">
        <v>28</v>
      </c>
      <c r="D1774" s="138" t="s">
        <v>2259</v>
      </c>
      <c r="E1774" s="139" t="s">
        <v>876</v>
      </c>
      <c r="F1774" s="161" t="s">
        <v>877</v>
      </c>
      <c r="G1774" s="139" t="s">
        <v>28</v>
      </c>
      <c r="H1774" s="162">
        <v>0.13</v>
      </c>
      <c r="I1774" s="162">
        <v>3.6821E-2</v>
      </c>
      <c r="J1774" s="158">
        <v>239461</v>
      </c>
      <c r="K1774" s="158">
        <f t="shared" si="383"/>
        <v>8817.1934810000002</v>
      </c>
      <c r="L1774" s="158"/>
      <c r="M1774" s="158">
        <f t="shared" ref="M1774:M1778" si="385">+J1774*I1774</f>
        <v>8817.1934810000002</v>
      </c>
      <c r="N1774" s="158"/>
      <c r="O1774" s="158"/>
      <c r="P1774" s="155"/>
    </row>
    <row r="1775" spans="1:17" s="15" customFormat="1" x14ac:dyDescent="0.2">
      <c r="A1775" t="s">
        <v>1681</v>
      </c>
      <c r="B1775" t="s">
        <v>1401</v>
      </c>
      <c r="C1775" s="124" t="s">
        <v>28</v>
      </c>
      <c r="D1775" s="138" t="s">
        <v>2260</v>
      </c>
      <c r="E1775" s="139" t="s">
        <v>95</v>
      </c>
      <c r="F1775" s="161" t="s">
        <v>96</v>
      </c>
      <c r="G1775" s="139" t="s">
        <v>28</v>
      </c>
      <c r="H1775" s="162">
        <v>0.19</v>
      </c>
      <c r="I1775" s="162">
        <v>5.3816000000000003E-2</v>
      </c>
      <c r="J1775" s="158">
        <v>1954</v>
      </c>
      <c r="K1775" s="158">
        <f t="shared" si="383"/>
        <v>105.156464</v>
      </c>
      <c r="L1775" s="158"/>
      <c r="M1775" s="158">
        <f t="shared" si="385"/>
        <v>105.156464</v>
      </c>
      <c r="N1775" s="158"/>
      <c r="O1775" s="158"/>
      <c r="P1775" s="155"/>
    </row>
    <row r="1776" spans="1:17" s="15" customFormat="1" ht="24" x14ac:dyDescent="0.2">
      <c r="A1776" t="s">
        <v>1681</v>
      </c>
      <c r="B1776" t="s">
        <v>1401</v>
      </c>
      <c r="C1776" s="124" t="s">
        <v>28</v>
      </c>
      <c r="D1776" s="138" t="s">
        <v>2261</v>
      </c>
      <c r="E1776" s="139" t="s">
        <v>683</v>
      </c>
      <c r="F1776" s="161" t="s">
        <v>684</v>
      </c>
      <c r="G1776" s="139" t="s">
        <v>28</v>
      </c>
      <c r="H1776" s="162">
        <v>9.93</v>
      </c>
      <c r="I1776" s="162">
        <v>2.8126000000000002</v>
      </c>
      <c r="J1776" s="158">
        <v>16353</v>
      </c>
      <c r="K1776" s="158">
        <f t="shared" si="383"/>
        <v>45994.447800000002</v>
      </c>
      <c r="L1776" s="158"/>
      <c r="M1776" s="158">
        <f t="shared" si="385"/>
        <v>45994.447800000002</v>
      </c>
      <c r="N1776" s="158"/>
      <c r="O1776" s="158"/>
      <c r="P1776" s="155"/>
    </row>
    <row r="1777" spans="1:17" s="15" customFormat="1" x14ac:dyDescent="0.2">
      <c r="A1777" t="s">
        <v>1681</v>
      </c>
      <c r="B1777" t="s">
        <v>1401</v>
      </c>
      <c r="C1777" s="124" t="s">
        <v>28</v>
      </c>
      <c r="D1777" s="138" t="s">
        <v>2262</v>
      </c>
      <c r="E1777" s="139" t="s">
        <v>30</v>
      </c>
      <c r="F1777" s="161" t="s">
        <v>31</v>
      </c>
      <c r="G1777" s="139" t="s">
        <v>28</v>
      </c>
      <c r="H1777" s="162">
        <v>0.22</v>
      </c>
      <c r="I1777" s="162">
        <v>6.2313E-2</v>
      </c>
      <c r="J1777" s="158">
        <v>106655</v>
      </c>
      <c r="K1777" s="158">
        <f t="shared" si="383"/>
        <v>6645.993015</v>
      </c>
      <c r="L1777" s="158"/>
      <c r="M1777" s="158">
        <f t="shared" si="385"/>
        <v>6645.993015</v>
      </c>
      <c r="N1777" s="158"/>
      <c r="O1777" s="158"/>
      <c r="P1777" s="155"/>
    </row>
    <row r="1778" spans="1:17" s="15" customFormat="1" x14ac:dyDescent="0.2">
      <c r="A1778" t="s">
        <v>1681</v>
      </c>
      <c r="B1778" t="s">
        <v>1401</v>
      </c>
      <c r="C1778" s="124" t="s">
        <v>28</v>
      </c>
      <c r="D1778" s="138" t="s">
        <v>2263</v>
      </c>
      <c r="E1778" s="139" t="s">
        <v>687</v>
      </c>
      <c r="F1778" s="161" t="s">
        <v>688</v>
      </c>
      <c r="G1778" s="139" t="s">
        <v>28</v>
      </c>
      <c r="H1778" s="162">
        <v>2.46</v>
      </c>
      <c r="I1778" s="162">
        <v>0.69677</v>
      </c>
      <c r="J1778" s="158">
        <v>1586</v>
      </c>
      <c r="K1778" s="158">
        <f t="shared" si="383"/>
        <v>1105.0772199999999</v>
      </c>
      <c r="L1778" s="158"/>
      <c r="M1778" s="158">
        <f t="shared" si="385"/>
        <v>1105.0772199999999</v>
      </c>
      <c r="N1778" s="158"/>
      <c r="O1778" s="158"/>
      <c r="P1778" s="155"/>
    </row>
    <row r="1779" spans="1:17" s="16" customFormat="1" x14ac:dyDescent="0.2">
      <c r="A1779" t="s">
        <v>1681</v>
      </c>
      <c r="B1779" t="s">
        <v>1401</v>
      </c>
      <c r="C1779" s="16" t="s">
        <v>1723</v>
      </c>
      <c r="D1779" s="142" t="s">
        <v>2264</v>
      </c>
      <c r="E1779" s="143" t="s">
        <v>690</v>
      </c>
      <c r="F1779" s="164" t="s">
        <v>691</v>
      </c>
      <c r="G1779" s="143" t="s">
        <v>420</v>
      </c>
      <c r="H1779" s="165">
        <v>2</v>
      </c>
      <c r="I1779" s="165">
        <v>0.56647999999999998</v>
      </c>
      <c r="J1779" s="158">
        <v>4210</v>
      </c>
      <c r="K1779" s="158">
        <f t="shared" si="383"/>
        <v>2384.8807999999999</v>
      </c>
      <c r="L1779" s="158"/>
      <c r="M1779" s="158"/>
      <c r="N1779" s="158">
        <f t="shared" ref="N1779:N1784" si="386">+J1779*I1779</f>
        <v>2384.8807999999999</v>
      </c>
      <c r="O1779" s="158"/>
      <c r="P1779" s="156"/>
    </row>
    <row r="1780" spans="1:17" s="16" customFormat="1" x14ac:dyDescent="0.2">
      <c r="A1780" t="s">
        <v>1681</v>
      </c>
      <c r="B1780" t="s">
        <v>1401</v>
      </c>
      <c r="C1780" s="16" t="s">
        <v>1723</v>
      </c>
      <c r="D1780" s="142" t="s">
        <v>2265</v>
      </c>
      <c r="E1780" s="143" t="s">
        <v>105</v>
      </c>
      <c r="F1780" s="164" t="s">
        <v>106</v>
      </c>
      <c r="G1780" s="143" t="s">
        <v>107</v>
      </c>
      <c r="H1780" s="165">
        <v>8.0000000000000002E-3</v>
      </c>
      <c r="I1780" s="165">
        <v>2.2659999999999998E-3</v>
      </c>
      <c r="J1780" s="158">
        <v>11250000</v>
      </c>
      <c r="K1780" s="158">
        <f t="shared" si="383"/>
        <v>25492.499999999996</v>
      </c>
      <c r="L1780" s="158"/>
      <c r="M1780" s="158"/>
      <c r="N1780" s="158">
        <f t="shared" si="386"/>
        <v>25492.499999999996</v>
      </c>
      <c r="O1780" s="158"/>
      <c r="P1780" s="156"/>
    </row>
    <row r="1781" spans="1:17" s="16" customFormat="1" x14ac:dyDescent="0.2">
      <c r="A1781" t="s">
        <v>1681</v>
      </c>
      <c r="B1781" t="s">
        <v>1401</v>
      </c>
      <c r="C1781" s="16" t="s">
        <v>1723</v>
      </c>
      <c r="D1781" s="142" t="s">
        <v>2266</v>
      </c>
      <c r="E1781" s="143" t="s">
        <v>885</v>
      </c>
      <c r="F1781" s="164" t="s">
        <v>886</v>
      </c>
      <c r="G1781" s="143" t="s">
        <v>42</v>
      </c>
      <c r="H1781" s="165">
        <v>0.05</v>
      </c>
      <c r="I1781" s="165">
        <v>1.4161999999999999E-2</v>
      </c>
      <c r="J1781" s="158">
        <v>15000</v>
      </c>
      <c r="K1781" s="158">
        <f t="shared" si="383"/>
        <v>212.42999999999998</v>
      </c>
      <c r="L1781" s="158"/>
      <c r="M1781" s="158"/>
      <c r="N1781" s="158">
        <f t="shared" si="386"/>
        <v>212.42999999999998</v>
      </c>
      <c r="O1781" s="158"/>
      <c r="P1781" s="156"/>
    </row>
    <row r="1782" spans="1:17" s="16" customFormat="1" x14ac:dyDescent="0.2">
      <c r="A1782" t="s">
        <v>1681</v>
      </c>
      <c r="B1782" t="s">
        <v>1401</v>
      </c>
      <c r="C1782" s="16" t="s">
        <v>1723</v>
      </c>
      <c r="D1782" s="142" t="s">
        <v>2267</v>
      </c>
      <c r="E1782" s="143" t="s">
        <v>696</v>
      </c>
      <c r="F1782" s="164" t="s">
        <v>486</v>
      </c>
      <c r="G1782" s="143" t="s">
        <v>250</v>
      </c>
      <c r="H1782" s="165">
        <v>0.6</v>
      </c>
      <c r="I1782" s="165">
        <v>0.16994400000000001</v>
      </c>
      <c r="J1782" s="158">
        <v>2500</v>
      </c>
      <c r="K1782" s="158">
        <f t="shared" si="383"/>
        <v>424.86</v>
      </c>
      <c r="L1782" s="158"/>
      <c r="M1782" s="158"/>
      <c r="N1782" s="158">
        <f t="shared" si="386"/>
        <v>424.86</v>
      </c>
      <c r="O1782" s="158"/>
      <c r="P1782" s="156"/>
    </row>
    <row r="1783" spans="1:17" s="16" customFormat="1" ht="36" x14ac:dyDescent="0.2">
      <c r="A1783" t="s">
        <v>1681</v>
      </c>
      <c r="B1783" t="s">
        <v>1401</v>
      </c>
      <c r="C1783" s="16" t="s">
        <v>1723</v>
      </c>
      <c r="D1783" s="142" t="s">
        <v>2268</v>
      </c>
      <c r="E1783" s="143" t="s">
        <v>1984</v>
      </c>
      <c r="F1783" s="164" t="s">
        <v>1985</v>
      </c>
      <c r="G1783" s="143" t="s">
        <v>107</v>
      </c>
      <c r="H1783" s="165">
        <v>1.4999999999999999E-2</v>
      </c>
      <c r="I1783" s="165">
        <v>4.2490000000000002E-3</v>
      </c>
      <c r="J1783" s="158">
        <v>9000000</v>
      </c>
      <c r="K1783" s="158">
        <f t="shared" si="383"/>
        <v>38241</v>
      </c>
      <c r="L1783" s="158"/>
      <c r="M1783" s="158"/>
      <c r="N1783" s="158">
        <f t="shared" si="386"/>
        <v>38241</v>
      </c>
      <c r="O1783" s="158"/>
      <c r="P1783" s="156"/>
    </row>
    <row r="1784" spans="1:17" s="16" customFormat="1" x14ac:dyDescent="0.2">
      <c r="A1784" t="s">
        <v>1681</v>
      </c>
      <c r="B1784" t="s">
        <v>1401</v>
      </c>
      <c r="C1784" s="16" t="s">
        <v>1723</v>
      </c>
      <c r="D1784" s="142" t="s">
        <v>2269</v>
      </c>
      <c r="E1784" s="143" t="s">
        <v>698</v>
      </c>
      <c r="F1784" s="164" t="s">
        <v>699</v>
      </c>
      <c r="G1784" s="143" t="s">
        <v>107</v>
      </c>
      <c r="H1784" s="165">
        <v>1</v>
      </c>
      <c r="I1784" s="165">
        <v>0.28323999999999999</v>
      </c>
      <c r="J1784" s="158">
        <v>9000000</v>
      </c>
      <c r="K1784" s="158">
        <f t="shared" si="383"/>
        <v>2549160</v>
      </c>
      <c r="L1784" s="158"/>
      <c r="M1784" s="158"/>
      <c r="N1784" s="158">
        <f t="shared" si="386"/>
        <v>2549160</v>
      </c>
      <c r="O1784" s="158"/>
      <c r="P1784" s="156"/>
    </row>
    <row r="1785" spans="1:17" s="1" customFormat="1" ht="38.25" x14ac:dyDescent="0.2">
      <c r="A1785" t="s">
        <v>1681</v>
      </c>
      <c r="B1785" t="s">
        <v>1401</v>
      </c>
      <c r="C1785" s="1" t="s">
        <v>1683</v>
      </c>
      <c r="D1785" s="130" t="s">
        <v>1316</v>
      </c>
      <c r="E1785" s="131" t="s">
        <v>926</v>
      </c>
      <c r="F1785" s="131" t="s">
        <v>927</v>
      </c>
      <c r="G1785" s="132" t="s">
        <v>1733</v>
      </c>
      <c r="H1785" s="159">
        <v>4.6399999999999997E-2</v>
      </c>
      <c r="I1785" s="159"/>
      <c r="J1785" s="158"/>
      <c r="K1785" s="158"/>
      <c r="L1785" s="158"/>
      <c r="M1785" s="158"/>
      <c r="N1785" s="158"/>
      <c r="O1785" s="158"/>
      <c r="P1785" s="153"/>
      <c r="Q1785" s="35"/>
    </row>
    <row r="1786" spans="1:17" s="14" customFormat="1" x14ac:dyDescent="0.2">
      <c r="A1786" t="s">
        <v>1681</v>
      </c>
      <c r="B1786" t="s">
        <v>1401</v>
      </c>
      <c r="C1786" s="14" t="s">
        <v>24</v>
      </c>
      <c r="D1786" s="134" t="s">
        <v>2270</v>
      </c>
      <c r="E1786" s="135" t="s">
        <v>18</v>
      </c>
      <c r="F1786" s="160" t="s">
        <v>23</v>
      </c>
      <c r="G1786" s="135" t="s">
        <v>24</v>
      </c>
      <c r="H1786" s="158">
        <v>38.53</v>
      </c>
      <c r="I1786" s="158">
        <v>1.7878000000000001</v>
      </c>
      <c r="J1786" s="158">
        <v>22914.53</v>
      </c>
      <c r="K1786" s="158">
        <f t="shared" ref="K1786:K1794" si="387">+J1786*I1786</f>
        <v>40966.596733999999</v>
      </c>
      <c r="L1786" s="158">
        <f t="shared" ref="L1786:L1787" si="388">+J1786*I1786</f>
        <v>40966.596733999999</v>
      </c>
      <c r="M1786" s="158"/>
      <c r="N1786" s="158"/>
      <c r="O1786" s="158"/>
      <c r="P1786" s="154"/>
    </row>
    <row r="1787" spans="1:17" s="16" customFormat="1" x14ac:dyDescent="0.2">
      <c r="A1787" t="s">
        <v>1681</v>
      </c>
      <c r="B1787" t="s">
        <v>1401</v>
      </c>
      <c r="C1787" s="14" t="s">
        <v>24</v>
      </c>
      <c r="D1787" s="134" t="s">
        <v>2271</v>
      </c>
      <c r="E1787" s="135" t="s">
        <v>52</v>
      </c>
      <c r="F1787" s="160" t="s">
        <v>1687</v>
      </c>
      <c r="G1787" s="135" t="s">
        <v>24</v>
      </c>
      <c r="H1787" s="158">
        <v>0.69</v>
      </c>
      <c r="I1787" s="158">
        <v>3.2016000000000003E-2</v>
      </c>
      <c r="J1787" s="158"/>
      <c r="K1787" s="158">
        <f t="shared" si="387"/>
        <v>0</v>
      </c>
      <c r="L1787" s="158">
        <f t="shared" si="388"/>
        <v>0</v>
      </c>
      <c r="M1787" s="158"/>
      <c r="N1787" s="158"/>
      <c r="O1787" s="158"/>
      <c r="P1787" s="156"/>
    </row>
    <row r="1788" spans="1:17" s="15" customFormat="1" x14ac:dyDescent="0.2">
      <c r="A1788" t="s">
        <v>1681</v>
      </c>
      <c r="B1788" t="s">
        <v>1401</v>
      </c>
      <c r="C1788" s="124" t="s">
        <v>28</v>
      </c>
      <c r="D1788" s="138" t="s">
        <v>2272</v>
      </c>
      <c r="E1788" s="139" t="s">
        <v>213</v>
      </c>
      <c r="F1788" s="161" t="s">
        <v>214</v>
      </c>
      <c r="G1788" s="139" t="s">
        <v>28</v>
      </c>
      <c r="H1788" s="162">
        <v>2.41</v>
      </c>
      <c r="I1788" s="162">
        <v>0.11182400000000001</v>
      </c>
      <c r="J1788" s="158">
        <v>1399</v>
      </c>
      <c r="K1788" s="158">
        <f t="shared" si="387"/>
        <v>156.441776</v>
      </c>
      <c r="L1788" s="158"/>
      <c r="M1788" s="158">
        <f t="shared" ref="M1788:M1790" si="389">+J1788*I1788</f>
        <v>156.441776</v>
      </c>
      <c r="N1788" s="158"/>
      <c r="O1788" s="158"/>
      <c r="P1788" s="155"/>
    </row>
    <row r="1789" spans="1:17" s="15" customFormat="1" ht="24" x14ac:dyDescent="0.2">
      <c r="A1789" t="s">
        <v>1681</v>
      </c>
      <c r="B1789" t="s">
        <v>1401</v>
      </c>
      <c r="C1789" s="124" t="s">
        <v>28</v>
      </c>
      <c r="D1789" s="138" t="s">
        <v>2273</v>
      </c>
      <c r="E1789" s="139" t="s">
        <v>876</v>
      </c>
      <c r="F1789" s="161" t="s">
        <v>877</v>
      </c>
      <c r="G1789" s="139" t="s">
        <v>28</v>
      </c>
      <c r="H1789" s="162">
        <v>0.28999999999999998</v>
      </c>
      <c r="I1789" s="162">
        <v>1.3455999999999999E-2</v>
      </c>
      <c r="J1789" s="158">
        <v>239461</v>
      </c>
      <c r="K1789" s="158">
        <f t="shared" si="387"/>
        <v>3222.1872159999998</v>
      </c>
      <c r="L1789" s="158"/>
      <c r="M1789" s="158">
        <f t="shared" si="389"/>
        <v>3222.1872159999998</v>
      </c>
      <c r="N1789" s="158"/>
      <c r="O1789" s="158"/>
      <c r="P1789" s="155"/>
    </row>
    <row r="1790" spans="1:17" s="15" customFormat="1" x14ac:dyDescent="0.2">
      <c r="A1790" t="s">
        <v>1681</v>
      </c>
      <c r="B1790" t="s">
        <v>1401</v>
      </c>
      <c r="C1790" s="124" t="s">
        <v>28</v>
      </c>
      <c r="D1790" s="138" t="s">
        <v>2274</v>
      </c>
      <c r="E1790" s="139" t="s">
        <v>30</v>
      </c>
      <c r="F1790" s="161" t="s">
        <v>31</v>
      </c>
      <c r="G1790" s="139" t="s">
        <v>28</v>
      </c>
      <c r="H1790" s="162">
        <v>0.4</v>
      </c>
      <c r="I1790" s="162">
        <v>1.856E-2</v>
      </c>
      <c r="J1790" s="158">
        <v>106655</v>
      </c>
      <c r="K1790" s="158">
        <f t="shared" si="387"/>
        <v>1979.5168000000001</v>
      </c>
      <c r="L1790" s="158"/>
      <c r="M1790" s="158">
        <f t="shared" si="389"/>
        <v>1979.5168000000001</v>
      </c>
      <c r="N1790" s="158"/>
      <c r="O1790" s="158"/>
      <c r="P1790" s="155"/>
    </row>
    <row r="1791" spans="1:17" s="16" customFormat="1" x14ac:dyDescent="0.2">
      <c r="A1791" t="s">
        <v>1681</v>
      </c>
      <c r="B1791" t="s">
        <v>1401</v>
      </c>
      <c r="C1791" s="16" t="s">
        <v>1723</v>
      </c>
      <c r="D1791" s="142" t="s">
        <v>2275</v>
      </c>
      <c r="E1791" s="143" t="s">
        <v>932</v>
      </c>
      <c r="F1791" s="164" t="s">
        <v>933</v>
      </c>
      <c r="G1791" s="143" t="s">
        <v>42</v>
      </c>
      <c r="H1791" s="165">
        <v>645</v>
      </c>
      <c r="I1791" s="165">
        <v>29.928000000000001</v>
      </c>
      <c r="J1791" s="158">
        <v>200</v>
      </c>
      <c r="K1791" s="158">
        <f t="shared" si="387"/>
        <v>5985.6</v>
      </c>
      <c r="L1791" s="158"/>
      <c r="M1791" s="158"/>
      <c r="N1791" s="158">
        <f t="shared" ref="N1791:N1794" si="390">+J1791*I1791</f>
        <v>5985.6</v>
      </c>
      <c r="O1791" s="158"/>
      <c r="P1791" s="156"/>
    </row>
    <row r="1792" spans="1:17" s="16" customFormat="1" x14ac:dyDescent="0.2">
      <c r="A1792" t="s">
        <v>1681</v>
      </c>
      <c r="B1792" t="s">
        <v>1401</v>
      </c>
      <c r="C1792" s="16" t="s">
        <v>1723</v>
      </c>
      <c r="D1792" s="142" t="s">
        <v>2276</v>
      </c>
      <c r="E1792" s="143" t="s">
        <v>935</v>
      </c>
      <c r="F1792" s="164" t="s">
        <v>936</v>
      </c>
      <c r="G1792" s="143" t="s">
        <v>42</v>
      </c>
      <c r="H1792" s="165">
        <v>81</v>
      </c>
      <c r="I1792" s="165">
        <v>3.7584</v>
      </c>
      <c r="J1792" s="158">
        <v>250</v>
      </c>
      <c r="K1792" s="158">
        <f t="shared" si="387"/>
        <v>939.6</v>
      </c>
      <c r="L1792" s="158"/>
      <c r="M1792" s="158"/>
      <c r="N1792" s="158">
        <f t="shared" si="390"/>
        <v>939.6</v>
      </c>
      <c r="O1792" s="158"/>
      <c r="P1792" s="156"/>
    </row>
    <row r="1793" spans="1:17" s="16" customFormat="1" ht="24" x14ac:dyDescent="0.2">
      <c r="A1793" t="s">
        <v>1681</v>
      </c>
      <c r="B1793" t="s">
        <v>1401</v>
      </c>
      <c r="C1793" s="16" t="s">
        <v>1723</v>
      </c>
      <c r="D1793" s="142" t="s">
        <v>2277</v>
      </c>
      <c r="E1793" s="143" t="s">
        <v>938</v>
      </c>
      <c r="F1793" s="164" t="s">
        <v>939</v>
      </c>
      <c r="G1793" s="143" t="s">
        <v>69</v>
      </c>
      <c r="H1793" s="165">
        <v>16</v>
      </c>
      <c r="I1793" s="165">
        <v>0.74239999999999995</v>
      </c>
      <c r="J1793" s="158">
        <v>500</v>
      </c>
      <c r="K1793" s="158">
        <f t="shared" si="387"/>
        <v>371.2</v>
      </c>
      <c r="L1793" s="158"/>
      <c r="M1793" s="158"/>
      <c r="N1793" s="158">
        <f t="shared" si="390"/>
        <v>371.2</v>
      </c>
      <c r="O1793" s="158"/>
      <c r="P1793" s="156"/>
    </row>
    <row r="1794" spans="1:17" s="16" customFormat="1" ht="24" x14ac:dyDescent="0.2">
      <c r="A1794" t="s">
        <v>1681</v>
      </c>
      <c r="B1794" t="s">
        <v>1401</v>
      </c>
      <c r="C1794" s="16" t="s">
        <v>1723</v>
      </c>
      <c r="D1794" s="142" t="s">
        <v>2278</v>
      </c>
      <c r="E1794" s="143" t="s">
        <v>941</v>
      </c>
      <c r="F1794" s="164" t="s">
        <v>942</v>
      </c>
      <c r="G1794" s="143" t="s">
        <v>38</v>
      </c>
      <c r="H1794" s="165">
        <v>106</v>
      </c>
      <c r="I1794" s="165">
        <v>4.9184000000000001</v>
      </c>
      <c r="J1794" s="158">
        <v>75450</v>
      </c>
      <c r="K1794" s="158">
        <f t="shared" si="387"/>
        <v>371093.28</v>
      </c>
      <c r="L1794" s="158"/>
      <c r="M1794" s="158"/>
      <c r="N1794" s="158">
        <f t="shared" si="390"/>
        <v>371093.28</v>
      </c>
      <c r="O1794" s="158"/>
      <c r="P1794" s="156"/>
    </row>
    <row r="1795" spans="1:17" s="1" customFormat="1" x14ac:dyDescent="0.2">
      <c r="A1795" t="s">
        <v>1681</v>
      </c>
      <c r="B1795" t="s">
        <v>1401</v>
      </c>
      <c r="C1795" s="16" t="s">
        <v>1723</v>
      </c>
      <c r="D1795" s="130" t="s">
        <v>1317</v>
      </c>
      <c r="E1795" s="131" t="s">
        <v>1781</v>
      </c>
      <c r="F1795" s="131" t="s">
        <v>2279</v>
      </c>
      <c r="G1795" s="132" t="s">
        <v>42</v>
      </c>
      <c r="H1795" s="159">
        <v>28</v>
      </c>
      <c r="I1795" s="159">
        <f>+H1795</f>
        <v>28</v>
      </c>
      <c r="J1795" s="166">
        <v>250</v>
      </c>
      <c r="K1795" s="166">
        <f>+J1795*I1795</f>
        <v>7000</v>
      </c>
      <c r="L1795" s="158"/>
      <c r="M1795" s="158"/>
      <c r="N1795" s="166">
        <f>+J1795*I1795</f>
        <v>7000</v>
      </c>
      <c r="O1795" s="158"/>
      <c r="P1795" s="153"/>
    </row>
    <row r="1796" spans="1:17" s="1" customFormat="1" ht="25.5" x14ac:dyDescent="0.2">
      <c r="A1796" t="s">
        <v>1681</v>
      </c>
      <c r="B1796" t="s">
        <v>1401</v>
      </c>
      <c r="C1796" s="1" t="s">
        <v>1683</v>
      </c>
      <c r="D1796" s="130" t="s">
        <v>1318</v>
      </c>
      <c r="E1796" s="131" t="s">
        <v>903</v>
      </c>
      <c r="F1796" s="131" t="s">
        <v>904</v>
      </c>
      <c r="G1796" s="132" t="s">
        <v>1733</v>
      </c>
      <c r="H1796" s="159">
        <v>0.2422</v>
      </c>
      <c r="I1796" s="159"/>
      <c r="J1796" s="158"/>
      <c r="K1796" s="158"/>
      <c r="L1796" s="158"/>
      <c r="M1796" s="158"/>
      <c r="N1796" s="158"/>
      <c r="O1796" s="158"/>
      <c r="P1796" s="153"/>
      <c r="Q1796" s="35"/>
    </row>
    <row r="1797" spans="1:17" s="14" customFormat="1" x14ac:dyDescent="0.2">
      <c r="A1797" t="s">
        <v>1681</v>
      </c>
      <c r="B1797" t="s">
        <v>1401</v>
      </c>
      <c r="C1797" s="14" t="s">
        <v>24</v>
      </c>
      <c r="D1797" s="134" t="s">
        <v>2280</v>
      </c>
      <c r="E1797" s="135" t="s">
        <v>18</v>
      </c>
      <c r="F1797" s="160" t="s">
        <v>23</v>
      </c>
      <c r="G1797" s="135" t="s">
        <v>24</v>
      </c>
      <c r="H1797" s="158">
        <v>5.31</v>
      </c>
      <c r="I1797" s="158">
        <v>1.2861</v>
      </c>
      <c r="J1797" s="158">
        <v>22914.53</v>
      </c>
      <c r="K1797" s="158">
        <f t="shared" ref="K1797:K1801" si="391">+J1797*I1797</f>
        <v>29470.377033000001</v>
      </c>
      <c r="L1797" s="158">
        <f t="shared" ref="L1797:L1798" si="392">+J1797*I1797</f>
        <v>29470.377033000001</v>
      </c>
      <c r="M1797" s="158"/>
      <c r="N1797" s="158"/>
      <c r="O1797" s="158"/>
      <c r="P1797" s="154"/>
    </row>
    <row r="1798" spans="1:17" s="16" customFormat="1" x14ac:dyDescent="0.2">
      <c r="A1798" t="s">
        <v>1681</v>
      </c>
      <c r="B1798" t="s">
        <v>1401</v>
      </c>
      <c r="C1798" s="14" t="s">
        <v>24</v>
      </c>
      <c r="D1798" s="134" t="s">
        <v>2281</v>
      </c>
      <c r="E1798" s="135" t="s">
        <v>52</v>
      </c>
      <c r="F1798" s="160" t="s">
        <v>1687</v>
      </c>
      <c r="G1798" s="135" t="s">
        <v>24</v>
      </c>
      <c r="H1798" s="158">
        <v>0.01</v>
      </c>
      <c r="I1798" s="158">
        <v>2.4220000000000001E-3</v>
      </c>
      <c r="J1798" s="158"/>
      <c r="K1798" s="158">
        <f t="shared" si="391"/>
        <v>0</v>
      </c>
      <c r="L1798" s="158">
        <f t="shared" si="392"/>
        <v>0</v>
      </c>
      <c r="M1798" s="158"/>
      <c r="N1798" s="158"/>
      <c r="O1798" s="158"/>
      <c r="P1798" s="156"/>
    </row>
    <row r="1799" spans="1:17" s="15" customFormat="1" x14ac:dyDescent="0.2">
      <c r="A1799" t="s">
        <v>1681</v>
      </c>
      <c r="B1799" t="s">
        <v>1401</v>
      </c>
      <c r="C1799" s="124" t="s">
        <v>28</v>
      </c>
      <c r="D1799" s="138" t="s">
        <v>2282</v>
      </c>
      <c r="E1799" s="139" t="s">
        <v>193</v>
      </c>
      <c r="F1799" s="161" t="s">
        <v>31</v>
      </c>
      <c r="G1799" s="139" t="s">
        <v>28</v>
      </c>
      <c r="H1799" s="162">
        <v>0.01</v>
      </c>
      <c r="I1799" s="162">
        <v>2.4220000000000001E-3</v>
      </c>
      <c r="J1799" s="158">
        <v>106655</v>
      </c>
      <c r="K1799" s="158">
        <f t="shared" si="391"/>
        <v>258.31841000000003</v>
      </c>
      <c r="L1799" s="158"/>
      <c r="M1799" s="158">
        <f t="shared" ref="M1799:M1800" si="393">+J1799*I1799</f>
        <v>258.31841000000003</v>
      </c>
      <c r="N1799" s="158"/>
      <c r="O1799" s="158"/>
      <c r="P1799" s="155"/>
    </row>
    <row r="1800" spans="1:17" s="15" customFormat="1" ht="24" x14ac:dyDescent="0.2">
      <c r="A1800" t="s">
        <v>1681</v>
      </c>
      <c r="B1800" t="s">
        <v>1401</v>
      </c>
      <c r="C1800" s="124" t="s">
        <v>28</v>
      </c>
      <c r="D1800" s="138" t="s">
        <v>2283</v>
      </c>
      <c r="E1800" s="139" t="s">
        <v>908</v>
      </c>
      <c r="F1800" s="161" t="s">
        <v>909</v>
      </c>
      <c r="G1800" s="139" t="s">
        <v>28</v>
      </c>
      <c r="H1800" s="162">
        <v>1.1200000000000001</v>
      </c>
      <c r="I1800" s="162">
        <v>0.27126400000000001</v>
      </c>
      <c r="J1800" s="158">
        <v>6265</v>
      </c>
      <c r="K1800" s="158">
        <f t="shared" si="391"/>
        <v>1699.4689599999999</v>
      </c>
      <c r="L1800" s="158"/>
      <c r="M1800" s="158">
        <f t="shared" si="393"/>
        <v>1699.4689599999999</v>
      </c>
      <c r="N1800" s="158"/>
      <c r="O1800" s="158"/>
      <c r="P1800" s="155"/>
    </row>
    <row r="1801" spans="1:17" s="16" customFormat="1" x14ac:dyDescent="0.2">
      <c r="A1801" t="s">
        <v>1681</v>
      </c>
      <c r="B1801" t="s">
        <v>1401</v>
      </c>
      <c r="C1801" s="16" t="s">
        <v>1723</v>
      </c>
      <c r="D1801" s="142" t="s">
        <v>2284</v>
      </c>
      <c r="E1801" s="143" t="s">
        <v>911</v>
      </c>
      <c r="F1801" s="164" t="s">
        <v>912</v>
      </c>
      <c r="G1801" s="143" t="s">
        <v>107</v>
      </c>
      <c r="H1801" s="165">
        <v>1.2E-2</v>
      </c>
      <c r="I1801" s="165">
        <v>2.9060000000000002E-3</v>
      </c>
      <c r="J1801" s="158">
        <v>18482000</v>
      </c>
      <c r="K1801" s="158">
        <f t="shared" si="391"/>
        <v>53708.692000000003</v>
      </c>
      <c r="L1801" s="158"/>
      <c r="M1801" s="158"/>
      <c r="N1801" s="158">
        <f t="shared" ref="N1801" si="394">+J1801*I1801</f>
        <v>53708.692000000003</v>
      </c>
      <c r="O1801" s="158"/>
      <c r="P1801" s="156"/>
    </row>
    <row r="1802" spans="1:17" s="1" customFormat="1" ht="25.5" x14ac:dyDescent="0.2">
      <c r="A1802" t="s">
        <v>1681</v>
      </c>
      <c r="B1802" t="s">
        <v>1401</v>
      </c>
      <c r="C1802" s="1" t="s">
        <v>1683</v>
      </c>
      <c r="D1802" s="130" t="s">
        <v>1319</v>
      </c>
      <c r="E1802" s="131" t="s">
        <v>1205</v>
      </c>
      <c r="F1802" s="131" t="s">
        <v>915</v>
      </c>
      <c r="G1802" s="132" t="s">
        <v>1733</v>
      </c>
      <c r="H1802" s="159">
        <v>0.2422</v>
      </c>
      <c r="I1802" s="159"/>
      <c r="J1802" s="158"/>
      <c r="K1802" s="158"/>
      <c r="L1802" s="158"/>
      <c r="M1802" s="158"/>
      <c r="N1802" s="158"/>
      <c r="O1802" s="158"/>
      <c r="P1802" s="153"/>
      <c r="Q1802" s="35"/>
    </row>
    <row r="1803" spans="1:17" s="14" customFormat="1" x14ac:dyDescent="0.2">
      <c r="A1803" t="s">
        <v>1681</v>
      </c>
      <c r="B1803" t="s">
        <v>1401</v>
      </c>
      <c r="C1803" s="14" t="s">
        <v>24</v>
      </c>
      <c r="D1803" s="134" t="s">
        <v>2285</v>
      </c>
      <c r="E1803" s="135" t="s">
        <v>18</v>
      </c>
      <c r="F1803" s="160" t="s">
        <v>23</v>
      </c>
      <c r="G1803" s="135" t="s">
        <v>24</v>
      </c>
      <c r="H1803" s="158">
        <v>3.83</v>
      </c>
      <c r="I1803" s="158">
        <v>0.92762599999999995</v>
      </c>
      <c r="J1803" s="158">
        <v>22914.53</v>
      </c>
      <c r="K1803" s="158">
        <f t="shared" ref="K1803:K1808" si="395">+J1803*I1803</f>
        <v>21256.113805779998</v>
      </c>
      <c r="L1803" s="158">
        <f t="shared" ref="L1803:L1804" si="396">+J1803*I1803</f>
        <v>21256.113805779998</v>
      </c>
      <c r="M1803" s="158"/>
      <c r="N1803" s="158"/>
      <c r="O1803" s="158"/>
      <c r="P1803" s="154"/>
    </row>
    <row r="1804" spans="1:17" s="16" customFormat="1" x14ac:dyDescent="0.2">
      <c r="A1804" t="s">
        <v>1681</v>
      </c>
      <c r="B1804" t="s">
        <v>1401</v>
      </c>
      <c r="C1804" s="14" t="s">
        <v>24</v>
      </c>
      <c r="D1804" s="134" t="s">
        <v>2286</v>
      </c>
      <c r="E1804" s="135" t="s">
        <v>52</v>
      </c>
      <c r="F1804" s="160" t="s">
        <v>1687</v>
      </c>
      <c r="G1804" s="135" t="s">
        <v>24</v>
      </c>
      <c r="H1804" s="158">
        <v>0.01</v>
      </c>
      <c r="I1804" s="158">
        <v>2.4220000000000001E-3</v>
      </c>
      <c r="J1804" s="158"/>
      <c r="K1804" s="158">
        <f t="shared" si="395"/>
        <v>0</v>
      </c>
      <c r="L1804" s="158">
        <f t="shared" si="396"/>
        <v>0</v>
      </c>
      <c r="M1804" s="158"/>
      <c r="N1804" s="158"/>
      <c r="O1804" s="158"/>
      <c r="P1804" s="156"/>
    </row>
    <row r="1805" spans="1:17" s="15" customFormat="1" x14ac:dyDescent="0.2">
      <c r="A1805" t="s">
        <v>1681</v>
      </c>
      <c r="B1805" t="s">
        <v>1401</v>
      </c>
      <c r="C1805" s="124" t="s">
        <v>28</v>
      </c>
      <c r="D1805" s="138" t="s">
        <v>2287</v>
      </c>
      <c r="E1805" s="139" t="s">
        <v>193</v>
      </c>
      <c r="F1805" s="161" t="s">
        <v>31</v>
      </c>
      <c r="G1805" s="139" t="s">
        <v>28</v>
      </c>
      <c r="H1805" s="162">
        <v>0.01</v>
      </c>
      <c r="I1805" s="162">
        <v>2.4220000000000001E-3</v>
      </c>
      <c r="J1805" s="158">
        <v>106655</v>
      </c>
      <c r="K1805" s="158">
        <f t="shared" si="395"/>
        <v>258.31841000000003</v>
      </c>
      <c r="L1805" s="158"/>
      <c r="M1805" s="158">
        <f t="shared" ref="M1805:M1806" si="397">+J1805*I1805</f>
        <v>258.31841000000003</v>
      </c>
      <c r="N1805" s="158"/>
      <c r="O1805" s="158"/>
      <c r="P1805" s="155"/>
    </row>
    <row r="1806" spans="1:17" s="15" customFormat="1" ht="24" x14ac:dyDescent="0.2">
      <c r="A1806" t="s">
        <v>1681</v>
      </c>
      <c r="B1806" t="s">
        <v>1401</v>
      </c>
      <c r="C1806" s="124" t="s">
        <v>28</v>
      </c>
      <c r="D1806" s="138" t="s">
        <v>2288</v>
      </c>
      <c r="E1806" s="139" t="s">
        <v>908</v>
      </c>
      <c r="F1806" s="161" t="s">
        <v>909</v>
      </c>
      <c r="G1806" s="139" t="s">
        <v>28</v>
      </c>
      <c r="H1806" s="162">
        <v>0.65</v>
      </c>
      <c r="I1806" s="162">
        <v>0.15742999999999999</v>
      </c>
      <c r="J1806" s="158">
        <v>6265</v>
      </c>
      <c r="K1806" s="158">
        <f t="shared" si="395"/>
        <v>986.29894999999988</v>
      </c>
      <c r="L1806" s="158"/>
      <c r="M1806" s="158">
        <f t="shared" si="397"/>
        <v>986.29894999999988</v>
      </c>
      <c r="N1806" s="158"/>
      <c r="O1806" s="158"/>
      <c r="P1806" s="155"/>
    </row>
    <row r="1807" spans="1:17" s="16" customFormat="1" x14ac:dyDescent="0.2">
      <c r="A1807" t="s">
        <v>1681</v>
      </c>
      <c r="B1807" t="s">
        <v>1401</v>
      </c>
      <c r="C1807" s="16" t="s">
        <v>1723</v>
      </c>
      <c r="D1807" s="142" t="s">
        <v>2289</v>
      </c>
      <c r="E1807" s="143" t="s">
        <v>920</v>
      </c>
      <c r="F1807" s="164" t="s">
        <v>921</v>
      </c>
      <c r="G1807" s="143" t="s">
        <v>107</v>
      </c>
      <c r="H1807" s="165">
        <v>1.9E-2</v>
      </c>
      <c r="I1807" s="165">
        <v>4.6020000000000002E-3</v>
      </c>
      <c r="J1807" s="158">
        <v>27312000</v>
      </c>
      <c r="K1807" s="158">
        <f t="shared" si="395"/>
        <v>125689.82400000001</v>
      </c>
      <c r="L1807" s="158"/>
      <c r="M1807" s="158"/>
      <c r="N1807" s="158">
        <f t="shared" ref="N1807:N1808" si="398">+J1807*I1807</f>
        <v>125689.82400000001</v>
      </c>
      <c r="O1807" s="158"/>
      <c r="P1807" s="156"/>
    </row>
    <row r="1808" spans="1:17" s="16" customFormat="1" x14ac:dyDescent="0.2">
      <c r="A1808" t="s">
        <v>1681</v>
      </c>
      <c r="B1808" t="s">
        <v>1401</v>
      </c>
      <c r="C1808" s="16" t="s">
        <v>1723</v>
      </c>
      <c r="D1808" s="142" t="s">
        <v>2290</v>
      </c>
      <c r="E1808" s="143" t="s">
        <v>923</v>
      </c>
      <c r="F1808" s="164" t="s">
        <v>924</v>
      </c>
      <c r="G1808" s="143" t="s">
        <v>107</v>
      </c>
      <c r="H1808" s="165">
        <v>1.4E-3</v>
      </c>
      <c r="I1808" s="165">
        <v>3.39E-4</v>
      </c>
      <c r="J1808" s="158">
        <v>30246000</v>
      </c>
      <c r="K1808" s="158">
        <f t="shared" si="395"/>
        <v>10253.394</v>
      </c>
      <c r="L1808" s="158"/>
      <c r="M1808" s="158"/>
      <c r="N1808" s="158">
        <f t="shared" si="398"/>
        <v>10253.394</v>
      </c>
      <c r="O1808" s="158"/>
      <c r="P1808" s="156"/>
    </row>
    <row r="1809" spans="1:17" ht="15.75" x14ac:dyDescent="0.25">
      <c r="A1809" t="s">
        <v>1681</v>
      </c>
      <c r="B1809" t="s">
        <v>1401</v>
      </c>
      <c r="D1809" s="151" t="s">
        <v>2291</v>
      </c>
      <c r="E1809" s="128"/>
      <c r="F1809" s="163"/>
      <c r="G1809" s="128"/>
      <c r="H1809" s="128"/>
      <c r="I1809" s="128"/>
      <c r="J1809" s="158"/>
      <c r="K1809" s="158"/>
      <c r="L1809" s="158"/>
      <c r="M1809" s="158"/>
      <c r="N1809" s="158"/>
      <c r="O1809" s="158"/>
      <c r="P1809" s="152"/>
    </row>
    <row r="1810" spans="1:17" s="1" customFormat="1" ht="25.5" x14ac:dyDescent="0.2">
      <c r="A1810" t="s">
        <v>1681</v>
      </c>
      <c r="B1810" t="s">
        <v>1401</v>
      </c>
      <c r="C1810" s="1" t="s">
        <v>1683</v>
      </c>
      <c r="D1810" s="130" t="s">
        <v>1320</v>
      </c>
      <c r="E1810" s="131" t="s">
        <v>2292</v>
      </c>
      <c r="F1810" s="131" t="s">
        <v>2293</v>
      </c>
      <c r="G1810" s="132" t="s">
        <v>420</v>
      </c>
      <c r="H1810" s="159">
        <v>2</v>
      </c>
      <c r="I1810" s="159"/>
      <c r="J1810" s="158"/>
      <c r="K1810" s="158"/>
      <c r="L1810" s="158"/>
      <c r="M1810" s="158"/>
      <c r="N1810" s="158"/>
      <c r="O1810" s="158"/>
      <c r="P1810" s="153"/>
      <c r="Q1810" s="35"/>
    </row>
    <row r="1811" spans="1:17" s="14" customFormat="1" x14ac:dyDescent="0.2">
      <c r="A1811" t="s">
        <v>1681</v>
      </c>
      <c r="B1811" t="s">
        <v>1401</v>
      </c>
      <c r="C1811" s="14" t="s">
        <v>24</v>
      </c>
      <c r="D1811" s="134" t="s">
        <v>2294</v>
      </c>
      <c r="E1811" s="135" t="s">
        <v>18</v>
      </c>
      <c r="F1811" s="160" t="s">
        <v>23</v>
      </c>
      <c r="G1811" s="135" t="s">
        <v>24</v>
      </c>
      <c r="H1811" s="158">
        <v>3.55</v>
      </c>
      <c r="I1811" s="158">
        <v>7.1</v>
      </c>
      <c r="J1811" s="158">
        <v>22914.53</v>
      </c>
      <c r="K1811" s="158">
        <f t="shared" ref="K1811:K1819" si="399">+J1811*I1811</f>
        <v>162693.16299999997</v>
      </c>
      <c r="L1811" s="158">
        <f t="shared" ref="L1811:L1812" si="400">+J1811*I1811</f>
        <v>162693.16299999997</v>
      </c>
      <c r="M1811" s="158"/>
      <c r="N1811" s="158"/>
      <c r="O1811" s="158"/>
      <c r="P1811" s="154"/>
    </row>
    <row r="1812" spans="1:17" s="16" customFormat="1" x14ac:dyDescent="0.2">
      <c r="A1812" t="s">
        <v>1681</v>
      </c>
      <c r="B1812" t="s">
        <v>1401</v>
      </c>
      <c r="C1812" s="14" t="s">
        <v>24</v>
      </c>
      <c r="D1812" s="134" t="s">
        <v>2295</v>
      </c>
      <c r="E1812" s="135" t="s">
        <v>52</v>
      </c>
      <c r="F1812" s="160" t="s">
        <v>1687</v>
      </c>
      <c r="G1812" s="135" t="s">
        <v>24</v>
      </c>
      <c r="H1812" s="158">
        <v>0.09</v>
      </c>
      <c r="I1812" s="158">
        <v>0.18</v>
      </c>
      <c r="J1812" s="158"/>
      <c r="K1812" s="158">
        <f t="shared" si="399"/>
        <v>0</v>
      </c>
      <c r="L1812" s="158">
        <f t="shared" si="400"/>
        <v>0</v>
      </c>
      <c r="M1812" s="158"/>
      <c r="N1812" s="158"/>
      <c r="O1812" s="158"/>
      <c r="P1812" s="156"/>
    </row>
    <row r="1813" spans="1:17" s="15" customFormat="1" x14ac:dyDescent="0.2">
      <c r="A1813" t="s">
        <v>1681</v>
      </c>
      <c r="B1813" t="s">
        <v>1401</v>
      </c>
      <c r="C1813" s="124" t="s">
        <v>28</v>
      </c>
      <c r="D1813" s="138" t="s">
        <v>2296</v>
      </c>
      <c r="E1813" s="139" t="s">
        <v>1728</v>
      </c>
      <c r="F1813" s="161" t="s">
        <v>1729</v>
      </c>
      <c r="G1813" s="139" t="s">
        <v>28</v>
      </c>
      <c r="H1813" s="162">
        <v>0.17</v>
      </c>
      <c r="I1813" s="162">
        <v>0.34</v>
      </c>
      <c r="J1813" s="158">
        <v>1592</v>
      </c>
      <c r="K1813" s="158">
        <f t="shared" si="399"/>
        <v>541.28000000000009</v>
      </c>
      <c r="L1813" s="158"/>
      <c r="M1813" s="158">
        <f t="shared" ref="M1813:M1815" si="401">+J1813*I1813</f>
        <v>541.28000000000009</v>
      </c>
      <c r="N1813" s="158"/>
      <c r="O1813" s="158"/>
      <c r="P1813" s="155"/>
    </row>
    <row r="1814" spans="1:17" s="15" customFormat="1" x14ac:dyDescent="0.2">
      <c r="A1814" t="s">
        <v>1681</v>
      </c>
      <c r="B1814" t="s">
        <v>1401</v>
      </c>
      <c r="C1814" s="124" t="s">
        <v>28</v>
      </c>
      <c r="D1814" s="138" t="s">
        <v>2297</v>
      </c>
      <c r="E1814" s="139" t="s">
        <v>1743</v>
      </c>
      <c r="F1814" s="161" t="s">
        <v>1744</v>
      </c>
      <c r="G1814" s="139" t="s">
        <v>28</v>
      </c>
      <c r="H1814" s="162">
        <v>0.1</v>
      </c>
      <c r="I1814" s="162">
        <v>0.2</v>
      </c>
      <c r="J1814" s="158">
        <v>965</v>
      </c>
      <c r="K1814" s="158">
        <f t="shared" si="399"/>
        <v>193</v>
      </c>
      <c r="L1814" s="158"/>
      <c r="M1814" s="158">
        <f t="shared" si="401"/>
        <v>193</v>
      </c>
      <c r="N1814" s="158"/>
      <c r="O1814" s="158"/>
      <c r="P1814" s="155"/>
    </row>
    <row r="1815" spans="1:17" s="15" customFormat="1" x14ac:dyDescent="0.2">
      <c r="A1815" t="s">
        <v>1681</v>
      </c>
      <c r="B1815" t="s">
        <v>1401</v>
      </c>
      <c r="C1815" s="124" t="s">
        <v>28</v>
      </c>
      <c r="D1815" s="138" t="s">
        <v>2298</v>
      </c>
      <c r="E1815" s="139" t="s">
        <v>30</v>
      </c>
      <c r="F1815" s="161" t="s">
        <v>31</v>
      </c>
      <c r="G1815" s="139" t="s">
        <v>28</v>
      </c>
      <c r="H1815" s="162">
        <v>0.09</v>
      </c>
      <c r="I1815" s="162">
        <v>0.18</v>
      </c>
      <c r="J1815" s="158">
        <v>106655</v>
      </c>
      <c r="K1815" s="158">
        <f t="shared" si="399"/>
        <v>19197.899999999998</v>
      </c>
      <c r="L1815" s="158"/>
      <c r="M1815" s="158">
        <f t="shared" si="401"/>
        <v>19197.899999999998</v>
      </c>
      <c r="N1815" s="158"/>
      <c r="O1815" s="158"/>
      <c r="P1815" s="155"/>
    </row>
    <row r="1816" spans="1:17" s="16" customFormat="1" x14ac:dyDescent="0.2">
      <c r="A1816" t="s">
        <v>1681</v>
      </c>
      <c r="B1816" t="s">
        <v>1401</v>
      </c>
      <c r="C1816" s="16" t="s">
        <v>1723</v>
      </c>
      <c r="D1816" s="142" t="s">
        <v>2299</v>
      </c>
      <c r="E1816" s="143" t="s">
        <v>1990</v>
      </c>
      <c r="F1816" s="164" t="s">
        <v>1991</v>
      </c>
      <c r="G1816" s="143" t="s">
        <v>420</v>
      </c>
      <c r="H1816" s="165">
        <v>1.02</v>
      </c>
      <c r="I1816" s="165">
        <v>2.04</v>
      </c>
      <c r="J1816" s="158">
        <v>473214</v>
      </c>
      <c r="K1816" s="158">
        <f t="shared" si="399"/>
        <v>965356.56</v>
      </c>
      <c r="L1816" s="158"/>
      <c r="M1816" s="158"/>
      <c r="N1816" s="158">
        <f t="shared" ref="N1816:N1819" si="402">+J1816*I1816</f>
        <v>965356.56</v>
      </c>
      <c r="O1816" s="158"/>
      <c r="P1816" s="156"/>
    </row>
    <row r="1817" spans="1:17" s="16" customFormat="1" ht="24" x14ac:dyDescent="0.2">
      <c r="A1817" t="s">
        <v>1681</v>
      </c>
      <c r="B1817" t="s">
        <v>1401</v>
      </c>
      <c r="C1817" s="16" t="s">
        <v>1723</v>
      </c>
      <c r="D1817" s="142" t="s">
        <v>2300</v>
      </c>
      <c r="E1817" s="143" t="s">
        <v>1804</v>
      </c>
      <c r="F1817" s="164" t="s">
        <v>1805</v>
      </c>
      <c r="G1817" s="143" t="s">
        <v>420</v>
      </c>
      <c r="H1817" s="165">
        <v>1.7999999999999999E-2</v>
      </c>
      <c r="I1817" s="165">
        <v>3.5999999999999997E-2</v>
      </c>
      <c r="J1817" s="158">
        <v>4107143</v>
      </c>
      <c r="K1817" s="158">
        <f t="shared" si="399"/>
        <v>147857.14799999999</v>
      </c>
      <c r="L1817" s="158"/>
      <c r="M1817" s="158"/>
      <c r="N1817" s="158">
        <f t="shared" si="402"/>
        <v>147857.14799999999</v>
      </c>
      <c r="O1817" s="158"/>
      <c r="P1817" s="156"/>
    </row>
    <row r="1818" spans="1:17" s="16" customFormat="1" ht="24" x14ac:dyDescent="0.2">
      <c r="A1818" t="s">
        <v>1681</v>
      </c>
      <c r="B1818" t="s">
        <v>1401</v>
      </c>
      <c r="C1818" s="16" t="s">
        <v>1723</v>
      </c>
      <c r="D1818" s="142" t="s">
        <v>2301</v>
      </c>
      <c r="E1818" s="143" t="s">
        <v>1776</v>
      </c>
      <c r="F1818" s="164" t="s">
        <v>1777</v>
      </c>
      <c r="G1818" s="143" t="s">
        <v>420</v>
      </c>
      <c r="H1818" s="165">
        <v>0.13800000000000001</v>
      </c>
      <c r="I1818" s="165">
        <v>0.27600000000000002</v>
      </c>
      <c r="J1818" s="158">
        <v>4107143</v>
      </c>
      <c r="K1818" s="158">
        <f t="shared" si="399"/>
        <v>1133571.4680000001</v>
      </c>
      <c r="L1818" s="158"/>
      <c r="M1818" s="158"/>
      <c r="N1818" s="158">
        <f t="shared" si="402"/>
        <v>1133571.4680000001</v>
      </c>
      <c r="O1818" s="158"/>
      <c r="P1818" s="156"/>
    </row>
    <row r="1819" spans="1:17" s="16" customFormat="1" x14ac:dyDescent="0.2">
      <c r="A1819" t="s">
        <v>1681</v>
      </c>
      <c r="B1819" t="s">
        <v>1401</v>
      </c>
      <c r="C1819" s="16" t="s">
        <v>1723</v>
      </c>
      <c r="D1819" s="142" t="s">
        <v>2302</v>
      </c>
      <c r="E1819" s="143" t="s">
        <v>2303</v>
      </c>
      <c r="F1819" s="164" t="s">
        <v>2304</v>
      </c>
      <c r="G1819" s="143" t="s">
        <v>38</v>
      </c>
      <c r="H1819" s="165">
        <v>0.23</v>
      </c>
      <c r="I1819" s="165">
        <v>0.46</v>
      </c>
      <c r="J1819" s="158">
        <v>3500</v>
      </c>
      <c r="K1819" s="158">
        <f t="shared" si="399"/>
        <v>1610</v>
      </c>
      <c r="L1819" s="158"/>
      <c r="M1819" s="158"/>
      <c r="N1819" s="158">
        <f t="shared" si="402"/>
        <v>1610</v>
      </c>
      <c r="O1819" s="158"/>
      <c r="P1819" s="156"/>
    </row>
    <row r="1820" spans="1:17" s="1" customFormat="1" x14ac:dyDescent="0.2">
      <c r="A1820" t="s">
        <v>1681</v>
      </c>
      <c r="B1820" t="s">
        <v>1401</v>
      </c>
      <c r="C1820" s="16" t="s">
        <v>1723</v>
      </c>
      <c r="D1820" s="130" t="s">
        <v>1321</v>
      </c>
      <c r="E1820" s="131" t="s">
        <v>1781</v>
      </c>
      <c r="F1820" s="131" t="s">
        <v>2305</v>
      </c>
      <c r="G1820" s="132" t="s">
        <v>107</v>
      </c>
      <c r="H1820" s="159">
        <v>3.3300000000000003E-2</v>
      </c>
      <c r="I1820" s="159">
        <f>+H1820</f>
        <v>3.3300000000000003E-2</v>
      </c>
      <c r="J1820" s="166">
        <v>7812501</v>
      </c>
      <c r="K1820" s="166">
        <f>+J1820*I1820</f>
        <v>260156.28330000004</v>
      </c>
      <c r="L1820" s="158"/>
      <c r="M1820" s="158"/>
      <c r="N1820" s="166">
        <f>+J1820*I1820</f>
        <v>260156.28330000004</v>
      </c>
      <c r="O1820" s="158"/>
      <c r="P1820" s="153"/>
    </row>
    <row r="1821" spans="1:17" s="1" customFormat="1" x14ac:dyDescent="0.2">
      <c r="A1821" t="s">
        <v>1681</v>
      </c>
      <c r="B1821" t="s">
        <v>1401</v>
      </c>
      <c r="C1821" s="1" t="s">
        <v>1398</v>
      </c>
      <c r="D1821" s="150"/>
      <c r="E1821" s="99"/>
      <c r="F1821" s="100" t="s">
        <v>1387</v>
      </c>
      <c r="G1821" s="101" t="s">
        <v>1368</v>
      </c>
      <c r="H1821" s="102"/>
      <c r="I1821" s="102"/>
      <c r="J1821" s="102"/>
      <c r="K1821" s="110">
        <f>L1821+M1821+N1821+O1821+P1821</f>
        <v>4047958563.5959187</v>
      </c>
      <c r="L1821" s="104">
        <f>SUM(L1063:L1820)</f>
        <v>473621521.26944852</v>
      </c>
      <c r="M1821" s="104">
        <f>SUM(M1063:M1820)</f>
        <v>299309280.18992448</v>
      </c>
      <c r="N1821" s="104">
        <f>SUM(N1063:N1820)</f>
        <v>3275027762.1365457</v>
      </c>
      <c r="O1821" s="104">
        <f>SUM(O1063:O1820)</f>
        <v>0</v>
      </c>
      <c r="P1821" s="104">
        <f>SUM(P1063:P1820)</f>
        <v>0</v>
      </c>
    </row>
    <row r="1822" spans="1:17" s="1" customFormat="1" x14ac:dyDescent="0.2">
      <c r="A1822" t="s">
        <v>1681</v>
      </c>
      <c r="B1822" t="s">
        <v>1401</v>
      </c>
      <c r="C1822" s="1" t="s">
        <v>1398</v>
      </c>
      <c r="D1822" s="150"/>
      <c r="E1822" s="99"/>
      <c r="F1822" s="100" t="s">
        <v>1388</v>
      </c>
      <c r="G1822" s="101" t="s">
        <v>1368</v>
      </c>
      <c r="H1822" s="102"/>
      <c r="I1822" s="102"/>
      <c r="J1822" s="102"/>
      <c r="K1822" s="110">
        <f>L1821</f>
        <v>473621521.26944852</v>
      </c>
      <c r="L1822" s="105">
        <v>473621521.26944852</v>
      </c>
      <c r="M1822" s="105">
        <v>299309280.18992448</v>
      </c>
      <c r="N1822" s="105">
        <v>3275027762.1365457</v>
      </c>
      <c r="O1822" s="105">
        <v>0</v>
      </c>
      <c r="P1822" s="105">
        <v>0</v>
      </c>
    </row>
    <row r="1823" spans="1:17" s="1" customFormat="1" x14ac:dyDescent="0.2">
      <c r="A1823" t="s">
        <v>1681</v>
      </c>
      <c r="B1823" t="s">
        <v>1401</v>
      </c>
      <c r="C1823" s="1" t="s">
        <v>1398</v>
      </c>
      <c r="D1823" s="150"/>
      <c r="E1823" s="99"/>
      <c r="F1823" s="100" t="s">
        <v>1389</v>
      </c>
      <c r="G1823" s="101" t="s">
        <v>1368</v>
      </c>
      <c r="H1823" s="102"/>
      <c r="I1823" s="102"/>
      <c r="J1823" s="102"/>
      <c r="K1823" s="110">
        <f>M1821</f>
        <v>299309280.18992448</v>
      </c>
      <c r="L1823" s="107">
        <f t="shared" ref="L1823:P1823" si="403">L1821-L1822</f>
        <v>0</v>
      </c>
      <c r="M1823" s="107">
        <f t="shared" si="403"/>
        <v>0</v>
      </c>
      <c r="N1823" s="107">
        <f t="shared" si="403"/>
        <v>0</v>
      </c>
      <c r="O1823" s="107">
        <f t="shared" si="403"/>
        <v>0</v>
      </c>
      <c r="P1823" s="107">
        <f t="shared" si="403"/>
        <v>0</v>
      </c>
    </row>
    <row r="1824" spans="1:17" s="1" customFormat="1" x14ac:dyDescent="0.2">
      <c r="A1824" t="s">
        <v>1681</v>
      </c>
      <c r="B1824" t="s">
        <v>1401</v>
      </c>
      <c r="C1824" s="1" t="s">
        <v>1398</v>
      </c>
      <c r="D1824" s="150"/>
      <c r="E1824" s="99"/>
      <c r="F1824" s="100" t="s">
        <v>1376</v>
      </c>
      <c r="G1824" s="101" t="s">
        <v>1368</v>
      </c>
      <c r="H1824" s="102"/>
      <c r="I1824" s="102"/>
      <c r="J1824" s="102"/>
      <c r="K1824" s="110">
        <f>N1821</f>
        <v>3275027762.1365457</v>
      </c>
      <c r="L1824" s="108"/>
      <c r="M1824" s="108"/>
      <c r="N1824" s="108"/>
      <c r="O1824" s="129"/>
      <c r="P1824" s="153"/>
    </row>
    <row r="1825" spans="1:16" s="1" customFormat="1" x14ac:dyDescent="0.2">
      <c r="A1825" t="s">
        <v>1681</v>
      </c>
      <c r="B1825" t="s">
        <v>1401</v>
      </c>
      <c r="C1825" s="1" t="s">
        <v>1398</v>
      </c>
      <c r="D1825" s="150"/>
      <c r="E1825" s="99"/>
      <c r="F1825" s="100" t="s">
        <v>1390</v>
      </c>
      <c r="G1825" s="101" t="s">
        <v>1368</v>
      </c>
      <c r="H1825" s="102"/>
      <c r="I1825" s="102"/>
      <c r="J1825" s="102"/>
      <c r="K1825" s="110">
        <f>K1824*5%</f>
        <v>163751388.10682729</v>
      </c>
      <c r="L1825" s="108"/>
      <c r="M1825" s="108"/>
      <c r="N1825" s="108"/>
      <c r="O1825" s="129"/>
      <c r="P1825" s="153"/>
    </row>
    <row r="1826" spans="1:16" s="1" customFormat="1" x14ac:dyDescent="0.2">
      <c r="A1826" t="s">
        <v>1681</v>
      </c>
      <c r="B1826" t="s">
        <v>1401</v>
      </c>
      <c r="C1826" s="1" t="s">
        <v>1398</v>
      </c>
      <c r="D1826" s="150"/>
      <c r="E1826" s="99"/>
      <c r="F1826" s="100" t="s">
        <v>1391</v>
      </c>
      <c r="G1826" s="101" t="s">
        <v>1368</v>
      </c>
      <c r="H1826" s="102"/>
      <c r="I1826" s="102"/>
      <c r="J1826" s="102"/>
      <c r="K1826" s="110">
        <f>P1821</f>
        <v>0</v>
      </c>
      <c r="L1826" s="108"/>
      <c r="M1826" s="108"/>
      <c r="N1826" s="108"/>
      <c r="O1826" s="129"/>
      <c r="P1826" s="153"/>
    </row>
    <row r="1827" spans="1:16" s="1" customFormat="1" x14ac:dyDescent="0.2">
      <c r="A1827" t="s">
        <v>1681</v>
      </c>
      <c r="B1827" t="s">
        <v>1401</v>
      </c>
      <c r="C1827" s="1" t="s">
        <v>1398</v>
      </c>
      <c r="D1827" s="150"/>
      <c r="E1827" s="99"/>
      <c r="F1827" s="100" t="s">
        <v>1392</v>
      </c>
      <c r="G1827" s="101" t="s">
        <v>1368</v>
      </c>
      <c r="H1827" s="102"/>
      <c r="I1827" s="102"/>
      <c r="J1827" s="102"/>
      <c r="K1827" s="110">
        <f>K1826*2%</f>
        <v>0</v>
      </c>
      <c r="L1827" s="108"/>
      <c r="M1827" s="108"/>
      <c r="N1827" s="108"/>
      <c r="O1827" s="129"/>
      <c r="P1827" s="153"/>
    </row>
    <row r="1828" spans="1:16" s="1" customFormat="1" x14ac:dyDescent="0.2">
      <c r="A1828" t="s">
        <v>1681</v>
      </c>
      <c r="B1828" t="s">
        <v>1401</v>
      </c>
      <c r="C1828" s="1" t="s">
        <v>1398</v>
      </c>
      <c r="D1828" s="150"/>
      <c r="E1828" s="99"/>
      <c r="F1828" s="100" t="s">
        <v>1393</v>
      </c>
      <c r="G1828" s="101" t="s">
        <v>1368</v>
      </c>
      <c r="H1828" s="102"/>
      <c r="I1828" s="102"/>
      <c r="J1828" s="102"/>
      <c r="K1828" s="110">
        <f>+O1821</f>
        <v>0</v>
      </c>
      <c r="L1828" s="108"/>
      <c r="M1828" s="108"/>
      <c r="N1828" s="108"/>
      <c r="O1828" s="129"/>
      <c r="P1828" s="153"/>
    </row>
    <row r="1829" spans="1:16" s="1" customFormat="1" x14ac:dyDescent="0.2">
      <c r="A1829" t="s">
        <v>1681</v>
      </c>
      <c r="B1829" t="s">
        <v>1401</v>
      </c>
      <c r="C1829" s="1" t="s">
        <v>1398</v>
      </c>
      <c r="D1829" s="150"/>
      <c r="E1829" s="99"/>
      <c r="F1829" s="100" t="s">
        <v>1394</v>
      </c>
      <c r="G1829" s="101" t="s">
        <v>1368</v>
      </c>
      <c r="H1829" s="102"/>
      <c r="I1829" s="102"/>
      <c r="J1829" s="102"/>
      <c r="K1829" s="110">
        <f>K1828*1.5%</f>
        <v>0</v>
      </c>
      <c r="L1829" s="108"/>
      <c r="M1829" s="108"/>
      <c r="N1829" s="108"/>
      <c r="O1829" s="129"/>
      <c r="P1829" s="153"/>
    </row>
    <row r="1830" spans="1:16" s="1" customFormat="1" x14ac:dyDescent="0.2">
      <c r="A1830" t="s">
        <v>1681</v>
      </c>
      <c r="B1830" t="s">
        <v>1401</v>
      </c>
      <c r="C1830" s="1" t="s">
        <v>1398</v>
      </c>
      <c r="D1830" s="150"/>
      <c r="E1830" s="99"/>
      <c r="F1830" s="100" t="s">
        <v>1395</v>
      </c>
      <c r="G1830" s="101" t="s">
        <v>1368</v>
      </c>
      <c r="H1830" s="102"/>
      <c r="I1830" s="102"/>
      <c r="J1830" s="102"/>
      <c r="K1830" s="110">
        <f>SUM(K1822:K1829)</f>
        <v>4211709951.7027459</v>
      </c>
      <c r="L1830" s="108"/>
      <c r="M1830" s="108"/>
      <c r="N1830" s="108"/>
      <c r="O1830" s="129"/>
      <c r="P1830" s="153"/>
    </row>
    <row r="1831" spans="1:16" s="1" customFormat="1" x14ac:dyDescent="0.2">
      <c r="A1831" t="s">
        <v>1681</v>
      </c>
      <c r="B1831" t="s">
        <v>1401</v>
      </c>
      <c r="C1831" s="1" t="s">
        <v>1398</v>
      </c>
      <c r="D1831" s="150"/>
      <c r="E1831" s="99"/>
      <c r="F1831" s="100" t="s">
        <v>1396</v>
      </c>
      <c r="G1831" s="101" t="s">
        <v>1368</v>
      </c>
      <c r="H1831" s="102"/>
      <c r="I1831" s="102"/>
      <c r="J1831" s="102"/>
      <c r="K1831" s="110">
        <f>(K1822+K1823+K1824+K1825+K1828+K1829)*17.27%</f>
        <v>727362308.65906417</v>
      </c>
      <c r="L1831" s="108"/>
      <c r="M1831" s="108"/>
      <c r="N1831" s="108"/>
      <c r="O1831" s="129"/>
      <c r="P1831" s="153"/>
    </row>
    <row r="1832" spans="1:16" s="1" customFormat="1" x14ac:dyDescent="0.2">
      <c r="A1832" t="s">
        <v>1681</v>
      </c>
      <c r="B1832" t="s">
        <v>1401</v>
      </c>
      <c r="C1832" s="1" t="s">
        <v>1398</v>
      </c>
      <c r="D1832" s="150"/>
      <c r="E1832" s="99"/>
      <c r="F1832" s="100" t="s">
        <v>1395</v>
      </c>
      <c r="G1832" s="101" t="s">
        <v>1368</v>
      </c>
      <c r="H1832" s="102"/>
      <c r="I1832" s="102"/>
      <c r="J1832" s="102"/>
      <c r="K1832" s="110">
        <f>SUM(K1830:K1831)</f>
        <v>4939072260.3618097</v>
      </c>
      <c r="L1832" s="108"/>
      <c r="M1832" s="108"/>
      <c r="N1832" s="108"/>
      <c r="O1832" s="129"/>
      <c r="P1832" s="153"/>
    </row>
  </sheetData>
  <autoFilter ref="A15:R798" xr:uid="{00000000-0001-0000-0000-000000000000}"/>
  <mergeCells count="9">
    <mergeCell ref="P12:P14"/>
    <mergeCell ref="E12:E14"/>
    <mergeCell ref="F12:F14"/>
    <mergeCell ref="G12:G13"/>
    <mergeCell ref="J12:K13"/>
    <mergeCell ref="L12:L14"/>
    <mergeCell ref="M12:M14"/>
    <mergeCell ref="N12:N14"/>
    <mergeCell ref="O12:O14"/>
  </mergeCells>
  <printOptions horizontalCentered="1"/>
  <pageMargins left="0.39" right="0.39" top="0.59" bottom="0.59" header="0.39" footer="0.39"/>
  <pageSetup paperSize="9" fitToHeight="10000" orientation="landscape" horizontalDpi="300" verticalDpi="300"/>
  <headerFooter>
    <oddHeader>&amp;L&amp;9ПРОГРАММНЫЙ КОМПЛЕКС АВС-UZ (РЕДАКЦИЯ 2023.4)&amp;C&amp;P&amp;R1010</oddHeader>
    <oddFooter>&amp;CСтраниц -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B2A0-3AE7-4CE1-A918-7414C781270C}">
  <sheetPr>
    <pageSetUpPr fitToPage="1"/>
  </sheetPr>
  <dimension ref="A1:I222"/>
  <sheetViews>
    <sheetView showGridLines="0" topLeftCell="A12" workbookViewId="0">
      <pane xSplit="4" ySplit="5" topLeftCell="E49" activePane="bottomRight" state="frozen"/>
      <selection activeCell="A12" sqref="A12"/>
      <selection pane="topRight" activeCell="E12" sqref="E12"/>
      <selection pane="bottomLeft" activeCell="A17" sqref="A17"/>
      <selection pane="bottomRight" activeCell="G25" sqref="G25"/>
    </sheetView>
  </sheetViews>
  <sheetFormatPr defaultRowHeight="12.75" x14ac:dyDescent="0.2"/>
  <cols>
    <col min="1" max="1" width="5.33203125" customWidth="1"/>
    <col min="2" max="2" width="15.83203125" customWidth="1"/>
    <col min="3" max="3" width="60.83203125" customWidth="1"/>
    <col min="4" max="5" width="11.83203125" customWidth="1"/>
    <col min="6" max="6" width="12.6640625" bestFit="1" customWidth="1"/>
    <col min="7" max="7" width="11.6640625" style="73" bestFit="1" customWidth="1"/>
    <col min="8" max="8" width="16.5" style="74" bestFit="1" customWidth="1"/>
  </cols>
  <sheetData>
    <row r="1" spans="1:9" s="1" customFormat="1" x14ac:dyDescent="0.2">
      <c r="A1" s="23"/>
      <c r="B1" s="23"/>
      <c r="C1" s="23"/>
      <c r="D1" s="23"/>
      <c r="E1" s="23"/>
      <c r="F1" s="23"/>
      <c r="G1" s="51"/>
      <c r="H1" s="52"/>
      <c r="I1" s="23"/>
    </row>
    <row r="2" spans="1:9" s="1" customFormat="1" ht="12.75" customHeight="1" x14ac:dyDescent="0.2">
      <c r="A2" s="23"/>
      <c r="B2" s="91" t="s">
        <v>1</v>
      </c>
      <c r="C2" s="91"/>
      <c r="D2" s="91"/>
      <c r="E2" s="91"/>
      <c r="F2" s="91"/>
      <c r="G2" s="91"/>
      <c r="H2" s="91"/>
      <c r="I2" s="23"/>
    </row>
    <row r="3" spans="1:9" s="1" customFormat="1" ht="12.75" customHeight="1" x14ac:dyDescent="0.2">
      <c r="A3" s="5"/>
      <c r="B3" s="83" t="s">
        <v>2</v>
      </c>
      <c r="C3" s="83"/>
      <c r="D3" s="83"/>
      <c r="E3" s="83"/>
      <c r="F3" s="83"/>
      <c r="G3" s="83"/>
      <c r="H3" s="83"/>
      <c r="I3" s="23"/>
    </row>
    <row r="4" spans="1:9" s="1" customFormat="1" x14ac:dyDescent="0.2">
      <c r="A4" s="23"/>
      <c r="B4" s="23"/>
      <c r="C4" s="53"/>
      <c r="D4" s="53"/>
      <c r="E4" s="53"/>
      <c r="F4" s="53"/>
      <c r="G4" s="54"/>
      <c r="H4" s="55"/>
      <c r="I4" s="23"/>
    </row>
    <row r="5" spans="1:9" s="1" customFormat="1" ht="15.75" x14ac:dyDescent="0.2">
      <c r="A5" s="92" t="s">
        <v>1381</v>
      </c>
      <c r="B5" s="92"/>
      <c r="C5" s="92"/>
      <c r="D5" s="92"/>
      <c r="E5" s="92"/>
      <c r="F5" s="92"/>
      <c r="G5" s="92"/>
      <c r="H5" s="92"/>
      <c r="I5" s="23"/>
    </row>
    <row r="6" spans="1:9" s="1" customFormat="1" ht="12.75" customHeight="1" x14ac:dyDescent="0.2">
      <c r="A6" s="5"/>
      <c r="B6" s="93" t="s">
        <v>4</v>
      </c>
      <c r="C6" s="93"/>
      <c r="D6" s="93"/>
      <c r="E6" s="93"/>
      <c r="F6" s="93"/>
      <c r="G6" s="93"/>
      <c r="H6" s="93"/>
      <c r="I6" s="23"/>
    </row>
    <row r="7" spans="1:9" s="1" customFormat="1" x14ac:dyDescent="0.2">
      <c r="A7" s="23"/>
      <c r="B7" s="23"/>
      <c r="C7" s="23"/>
      <c r="D7" s="53"/>
      <c r="E7" s="53"/>
      <c r="F7" s="23"/>
      <c r="G7" s="4" t="s">
        <v>5</v>
      </c>
      <c r="H7" s="4"/>
      <c r="I7" s="23"/>
    </row>
    <row r="8" spans="1:9" s="1" customFormat="1" ht="12.75" customHeight="1" x14ac:dyDescent="0.2">
      <c r="A8" s="9" t="s">
        <v>6</v>
      </c>
      <c r="B8" s="91" t="s">
        <v>1</v>
      </c>
      <c r="C8" s="91"/>
      <c r="D8" s="91"/>
      <c r="E8" s="91"/>
      <c r="F8" s="91"/>
      <c r="G8" s="91"/>
      <c r="H8" s="91"/>
      <c r="I8" s="23"/>
    </row>
    <row r="9" spans="1:9" s="1" customFormat="1" ht="12.75" customHeight="1" x14ac:dyDescent="0.2">
      <c r="A9" s="5"/>
      <c r="B9" s="83" t="s">
        <v>7</v>
      </c>
      <c r="C9" s="83"/>
      <c r="D9" s="83"/>
      <c r="E9" s="83"/>
      <c r="F9" s="83"/>
      <c r="G9" s="83"/>
      <c r="H9" s="83"/>
      <c r="I9" s="23"/>
    </row>
    <row r="10" spans="1:9" s="1" customFormat="1" x14ac:dyDescent="0.2">
      <c r="A10" s="23"/>
      <c r="B10" s="23"/>
      <c r="C10" s="23"/>
      <c r="D10" s="23"/>
      <c r="E10" s="23"/>
      <c r="F10" s="23"/>
      <c r="G10" s="51"/>
      <c r="H10" s="52"/>
      <c r="I10" s="23"/>
    </row>
    <row r="11" spans="1:9" s="10" customFormat="1" ht="12.75" customHeight="1" x14ac:dyDescent="0.2">
      <c r="A11" s="84" t="s">
        <v>9</v>
      </c>
      <c r="B11" s="84" t="s">
        <v>10</v>
      </c>
      <c r="C11" s="84" t="s">
        <v>11</v>
      </c>
      <c r="D11" s="84" t="s">
        <v>12</v>
      </c>
      <c r="E11" s="56"/>
      <c r="F11" s="84" t="s">
        <v>13</v>
      </c>
      <c r="G11" s="87" t="s">
        <v>1373</v>
      </c>
      <c r="H11" s="88"/>
      <c r="I11" s="57"/>
    </row>
    <row r="12" spans="1:9" s="10" customFormat="1" ht="12.75" customHeight="1" x14ac:dyDescent="0.2">
      <c r="A12" s="85"/>
      <c r="B12" s="85"/>
      <c r="C12" s="85"/>
      <c r="D12" s="85"/>
      <c r="E12" s="58"/>
      <c r="F12" s="85"/>
      <c r="G12" s="89" t="s">
        <v>1382</v>
      </c>
      <c r="H12" s="90"/>
      <c r="I12" s="57"/>
    </row>
    <row r="13" spans="1:9" s="10" customFormat="1" x14ac:dyDescent="0.2">
      <c r="A13" s="86"/>
      <c r="B13" s="86"/>
      <c r="C13" s="86"/>
      <c r="D13" s="86"/>
      <c r="E13" s="59"/>
      <c r="F13" s="86"/>
      <c r="G13" s="60" t="s">
        <v>1379</v>
      </c>
      <c r="H13" s="61" t="s">
        <v>1380</v>
      </c>
      <c r="I13" s="57"/>
    </row>
    <row r="14" spans="1:9" s="12" customFormat="1" x14ac:dyDescent="0.2">
      <c r="A14" s="62">
        <v>1</v>
      </c>
      <c r="B14" s="63">
        <v>2</v>
      </c>
      <c r="C14" s="63">
        <v>3</v>
      </c>
      <c r="D14" s="63">
        <v>4</v>
      </c>
      <c r="E14" s="63"/>
      <c r="F14" s="63">
        <v>5</v>
      </c>
      <c r="G14" s="64">
        <v>6</v>
      </c>
      <c r="H14" s="65">
        <v>7</v>
      </c>
      <c r="I14" s="66"/>
    </row>
    <row r="15" spans="1:9" ht="13.5" thickBot="1" x14ac:dyDescent="0.25">
      <c r="A15" s="81"/>
      <c r="B15" s="82"/>
      <c r="C15" s="82"/>
      <c r="D15" s="82"/>
      <c r="E15" s="82"/>
      <c r="F15" s="82"/>
      <c r="G15" s="82"/>
      <c r="H15" s="82"/>
    </row>
    <row r="16" spans="1:9" s="1" customFormat="1" ht="13.5" customHeight="1" thickTop="1" x14ac:dyDescent="0.2">
      <c r="A16" s="43" t="s">
        <v>1383</v>
      </c>
      <c r="B16" s="44"/>
      <c r="C16" s="44"/>
      <c r="D16" s="44"/>
      <c r="E16" s="44"/>
      <c r="F16" s="44"/>
      <c r="G16" s="44"/>
      <c r="H16" s="44"/>
      <c r="I16" s="67"/>
    </row>
    <row r="17" spans="1:9" s="1" customFormat="1" x14ac:dyDescent="0.2">
      <c r="A17" s="17"/>
      <c r="B17" s="18"/>
      <c r="C17" s="19" t="s">
        <v>1306</v>
      </c>
      <c r="D17" s="20"/>
      <c r="E17" s="20"/>
      <c r="F17" s="21"/>
      <c r="G17" s="22"/>
      <c r="H17" s="68"/>
      <c r="I17" s="23"/>
    </row>
    <row r="18" spans="1:9" s="1" customFormat="1" x14ac:dyDescent="0.2">
      <c r="A18" s="24" t="s">
        <v>18</v>
      </c>
      <c r="B18" s="25" t="s">
        <v>18</v>
      </c>
      <c r="C18" s="25" t="s">
        <v>23</v>
      </c>
      <c r="D18" s="26" t="s">
        <v>24</v>
      </c>
      <c r="E18" s="26"/>
      <c r="F18" s="27">
        <v>19780.2137</v>
      </c>
      <c r="G18" s="28">
        <v>22914.53</v>
      </c>
      <c r="H18" s="69">
        <f>+G18*F18</f>
        <v>453254300.23506099</v>
      </c>
      <c r="I18" s="23"/>
    </row>
    <row r="19" spans="1:9" s="1" customFormat="1" ht="12.75" customHeight="1" x14ac:dyDescent="0.2">
      <c r="A19" s="29"/>
      <c r="B19" s="76" t="s">
        <v>1367</v>
      </c>
      <c r="C19" s="77"/>
      <c r="D19" s="30" t="s">
        <v>1368</v>
      </c>
      <c r="E19" s="30"/>
      <c r="F19" s="31"/>
      <c r="G19" s="32"/>
      <c r="H19" s="70">
        <f>+H18</f>
        <v>453254300.23506099</v>
      </c>
      <c r="I19" s="23"/>
    </row>
    <row r="20" spans="1:9" s="1" customFormat="1" x14ac:dyDescent="0.2">
      <c r="A20" s="78"/>
      <c r="B20" s="79"/>
      <c r="C20" s="79"/>
      <c r="D20" s="79"/>
      <c r="E20" s="79"/>
      <c r="F20" s="79"/>
      <c r="G20" s="79"/>
      <c r="H20" s="79"/>
      <c r="I20" s="23"/>
    </row>
    <row r="21" spans="1:9" s="1" customFormat="1" x14ac:dyDescent="0.2">
      <c r="A21" s="17"/>
      <c r="B21" s="18"/>
      <c r="C21" s="19" t="s">
        <v>1307</v>
      </c>
      <c r="D21" s="20"/>
      <c r="E21" s="20"/>
      <c r="F21" s="21"/>
      <c r="G21" s="22"/>
      <c r="H21" s="68"/>
      <c r="I21" s="23"/>
    </row>
    <row r="22" spans="1:9" s="1" customFormat="1" x14ac:dyDescent="0.2">
      <c r="A22" s="24" t="s">
        <v>43</v>
      </c>
      <c r="B22" s="25" t="s">
        <v>262</v>
      </c>
      <c r="C22" s="25" t="s">
        <v>263</v>
      </c>
      <c r="D22" s="26" t="s">
        <v>28</v>
      </c>
      <c r="E22" s="26"/>
      <c r="F22" s="27">
        <v>14.4068</v>
      </c>
      <c r="G22" s="33">
        <v>140201</v>
      </c>
      <c r="H22" s="69">
        <f>+G22*F22</f>
        <v>2019847.7668000001</v>
      </c>
      <c r="I22" s="23"/>
    </row>
    <row r="23" spans="1:9" s="1" customFormat="1" ht="36" x14ac:dyDescent="0.2">
      <c r="A23" s="24" t="s">
        <v>52</v>
      </c>
      <c r="B23" s="25" t="s">
        <v>1020</v>
      </c>
      <c r="C23" s="25" t="s">
        <v>1021</v>
      </c>
      <c r="D23" s="26" t="s">
        <v>28</v>
      </c>
      <c r="E23" s="26"/>
      <c r="F23" s="27">
        <v>15.024699999999999</v>
      </c>
      <c r="G23" s="33">
        <v>8322</v>
      </c>
      <c r="H23" s="69">
        <f t="shared" ref="H23:H53" si="0">+G23*F23</f>
        <v>125035.55339999999</v>
      </c>
      <c r="I23" s="23"/>
    </row>
    <row r="24" spans="1:9" s="1" customFormat="1" x14ac:dyDescent="0.2">
      <c r="A24" s="24" t="s">
        <v>60</v>
      </c>
      <c r="B24" s="25" t="s">
        <v>472</v>
      </c>
      <c r="C24" s="25" t="s">
        <v>473</v>
      </c>
      <c r="D24" s="26" t="s">
        <v>28</v>
      </c>
      <c r="E24" s="26"/>
      <c r="F24" s="27">
        <v>80.970799999999997</v>
      </c>
      <c r="G24" s="33">
        <v>235</v>
      </c>
      <c r="H24" s="69">
        <f t="shared" si="0"/>
        <v>19028.137999999999</v>
      </c>
      <c r="I24" s="23"/>
    </row>
    <row r="25" spans="1:9" s="1" customFormat="1" x14ac:dyDescent="0.2">
      <c r="A25" s="24" t="s">
        <v>70</v>
      </c>
      <c r="B25" s="25" t="s">
        <v>213</v>
      </c>
      <c r="C25" s="25" t="s">
        <v>214</v>
      </c>
      <c r="D25" s="26" t="s">
        <v>28</v>
      </c>
      <c r="E25" s="26"/>
      <c r="F25" s="27">
        <v>92.193200000000004</v>
      </c>
      <c r="G25" s="33">
        <v>1399</v>
      </c>
      <c r="H25" s="69">
        <f t="shared" si="0"/>
        <v>128978.2868</v>
      </c>
      <c r="I25" s="23"/>
    </row>
    <row r="26" spans="1:9" s="1" customFormat="1" ht="24" x14ac:dyDescent="0.2">
      <c r="A26" s="24" t="s">
        <v>80</v>
      </c>
      <c r="B26" s="25" t="s">
        <v>1079</v>
      </c>
      <c r="C26" s="25" t="s">
        <v>1080</v>
      </c>
      <c r="D26" s="26" t="s">
        <v>28</v>
      </c>
      <c r="E26" s="26"/>
      <c r="F26" s="27">
        <v>9.3600000000000003E-2</v>
      </c>
      <c r="G26" s="33">
        <v>132706</v>
      </c>
      <c r="H26" s="69">
        <f t="shared" si="0"/>
        <v>12421.2816</v>
      </c>
      <c r="I26" s="23"/>
    </row>
    <row r="27" spans="1:9" s="1" customFormat="1" ht="24" x14ac:dyDescent="0.2">
      <c r="A27" s="24" t="s">
        <v>90</v>
      </c>
      <c r="B27" s="25" t="s">
        <v>1217</v>
      </c>
      <c r="C27" s="25" t="s">
        <v>1218</v>
      </c>
      <c r="D27" s="26" t="s">
        <v>28</v>
      </c>
      <c r="E27" s="26"/>
      <c r="F27" s="27">
        <v>72.09</v>
      </c>
      <c r="G27" s="33">
        <v>119324</v>
      </c>
      <c r="H27" s="69">
        <f t="shared" si="0"/>
        <v>8602067.1600000001</v>
      </c>
      <c r="I27" s="23"/>
    </row>
    <row r="28" spans="1:9" s="1" customFormat="1" ht="24" x14ac:dyDescent="0.2">
      <c r="A28" s="24" t="s">
        <v>115</v>
      </c>
      <c r="B28" s="25" t="s">
        <v>876</v>
      </c>
      <c r="C28" s="25" t="s">
        <v>877</v>
      </c>
      <c r="D28" s="26" t="s">
        <v>28</v>
      </c>
      <c r="E28" s="26"/>
      <c r="F28" s="27">
        <v>5.9664999999999999</v>
      </c>
      <c r="G28" s="33">
        <v>239461</v>
      </c>
      <c r="H28" s="69">
        <f t="shared" si="0"/>
        <v>1428744.0564999999</v>
      </c>
      <c r="I28" s="23"/>
    </row>
    <row r="29" spans="1:9" s="1" customFormat="1" ht="24" x14ac:dyDescent="0.2">
      <c r="A29" s="24" t="s">
        <v>129</v>
      </c>
      <c r="B29" s="25" t="s">
        <v>1220</v>
      </c>
      <c r="C29" s="25" t="s">
        <v>1221</v>
      </c>
      <c r="D29" s="26" t="s">
        <v>28</v>
      </c>
      <c r="E29" s="26"/>
      <c r="F29" s="27">
        <v>2.88</v>
      </c>
      <c r="G29" s="33">
        <v>239461</v>
      </c>
      <c r="H29" s="69">
        <f t="shared" si="0"/>
        <v>689647.67999999993</v>
      </c>
      <c r="I29" s="23"/>
    </row>
    <row r="30" spans="1:9" s="1" customFormat="1" x14ac:dyDescent="0.2">
      <c r="A30" s="24" t="s">
        <v>140</v>
      </c>
      <c r="B30" s="25" t="s">
        <v>475</v>
      </c>
      <c r="C30" s="25" t="s">
        <v>476</v>
      </c>
      <c r="D30" s="26" t="s">
        <v>28</v>
      </c>
      <c r="E30" s="26"/>
      <c r="F30" s="27">
        <v>8.2105999999999995</v>
      </c>
      <c r="G30" s="33">
        <v>6311</v>
      </c>
      <c r="H30" s="69">
        <f t="shared" si="0"/>
        <v>51817.096599999997</v>
      </c>
      <c r="I30" s="23"/>
    </row>
    <row r="31" spans="1:9" s="1" customFormat="1" ht="24" x14ac:dyDescent="0.2">
      <c r="A31" s="24" t="s">
        <v>149</v>
      </c>
      <c r="B31" s="25" t="s">
        <v>1223</v>
      </c>
      <c r="C31" s="25" t="s">
        <v>1224</v>
      </c>
      <c r="D31" s="26" t="s">
        <v>28</v>
      </c>
      <c r="E31" s="26"/>
      <c r="F31" s="27">
        <v>22.02</v>
      </c>
      <c r="G31" s="33">
        <v>6372</v>
      </c>
      <c r="H31" s="69">
        <f t="shared" si="0"/>
        <v>140311.44</v>
      </c>
      <c r="I31" s="23"/>
    </row>
    <row r="32" spans="1:9" s="1" customFormat="1" ht="24" x14ac:dyDescent="0.2">
      <c r="A32" s="24" t="s">
        <v>161</v>
      </c>
      <c r="B32" s="25" t="s">
        <v>725</v>
      </c>
      <c r="C32" s="25" t="s">
        <v>726</v>
      </c>
      <c r="D32" s="26" t="s">
        <v>28</v>
      </c>
      <c r="E32" s="26"/>
      <c r="F32" s="27">
        <v>79.488</v>
      </c>
      <c r="G32" s="33">
        <v>30613</v>
      </c>
      <c r="H32" s="69">
        <f t="shared" si="0"/>
        <v>2433366.1439999999</v>
      </c>
      <c r="I32" s="23"/>
    </row>
    <row r="33" spans="1:9" s="1" customFormat="1" x14ac:dyDescent="0.2">
      <c r="A33" s="24" t="s">
        <v>169</v>
      </c>
      <c r="B33" s="25" t="s">
        <v>642</v>
      </c>
      <c r="C33" s="25" t="s">
        <v>643</v>
      </c>
      <c r="D33" s="26" t="s">
        <v>28</v>
      </c>
      <c r="E33" s="26"/>
      <c r="F33" s="27">
        <v>37.562100000000001</v>
      </c>
      <c r="G33" s="33">
        <v>1253</v>
      </c>
      <c r="H33" s="69">
        <f t="shared" si="0"/>
        <v>47065.311300000001</v>
      </c>
      <c r="I33" s="23"/>
    </row>
    <row r="34" spans="1:9" s="1" customFormat="1" x14ac:dyDescent="0.2">
      <c r="A34" s="24" t="s">
        <v>172</v>
      </c>
      <c r="B34" s="25" t="s">
        <v>728</v>
      </c>
      <c r="C34" s="25" t="s">
        <v>729</v>
      </c>
      <c r="D34" s="26" t="s">
        <v>28</v>
      </c>
      <c r="E34" s="26"/>
      <c r="F34" s="27">
        <v>3.84</v>
      </c>
      <c r="G34" s="33">
        <v>1227</v>
      </c>
      <c r="H34" s="69">
        <f t="shared" si="0"/>
        <v>4711.6799999999994</v>
      </c>
      <c r="I34" s="23"/>
    </row>
    <row r="35" spans="1:9" s="1" customFormat="1" x14ac:dyDescent="0.2">
      <c r="A35" s="24" t="s">
        <v>176</v>
      </c>
      <c r="B35" s="25" t="s">
        <v>731</v>
      </c>
      <c r="C35" s="25" t="s">
        <v>732</v>
      </c>
      <c r="D35" s="26" t="s">
        <v>28</v>
      </c>
      <c r="E35" s="26"/>
      <c r="F35" s="27">
        <v>4.4160000000000004</v>
      </c>
      <c r="G35" s="33">
        <v>1954</v>
      </c>
      <c r="H35" s="69">
        <f t="shared" si="0"/>
        <v>8628.8640000000014</v>
      </c>
      <c r="I35" s="23"/>
    </row>
    <row r="36" spans="1:9" s="1" customFormat="1" x14ac:dyDescent="0.2">
      <c r="A36" s="24" t="s">
        <v>188</v>
      </c>
      <c r="B36" s="25" t="s">
        <v>95</v>
      </c>
      <c r="C36" s="25" t="s">
        <v>96</v>
      </c>
      <c r="D36" s="26" t="s">
        <v>28</v>
      </c>
      <c r="E36" s="26"/>
      <c r="F36" s="27">
        <v>17.135000000000002</v>
      </c>
      <c r="G36" s="33">
        <v>1954</v>
      </c>
      <c r="H36" s="69">
        <f t="shared" si="0"/>
        <v>33481.79</v>
      </c>
      <c r="I36" s="23"/>
    </row>
    <row r="37" spans="1:9" s="1" customFormat="1" ht="24" x14ac:dyDescent="0.2">
      <c r="A37" s="24" t="s">
        <v>208</v>
      </c>
      <c r="B37" s="25" t="s">
        <v>734</v>
      </c>
      <c r="C37" s="25" t="s">
        <v>735</v>
      </c>
      <c r="D37" s="26" t="s">
        <v>28</v>
      </c>
      <c r="E37" s="26"/>
      <c r="F37" s="27">
        <v>147.648</v>
      </c>
      <c r="G37" s="33">
        <v>70000</v>
      </c>
      <c r="H37" s="69">
        <f t="shared" si="0"/>
        <v>10335360</v>
      </c>
      <c r="I37" s="23"/>
    </row>
    <row r="38" spans="1:9" s="1" customFormat="1" ht="24" x14ac:dyDescent="0.2">
      <c r="A38" s="24" t="s">
        <v>221</v>
      </c>
      <c r="B38" s="25" t="s">
        <v>683</v>
      </c>
      <c r="C38" s="25" t="s">
        <v>684</v>
      </c>
      <c r="D38" s="26" t="s">
        <v>28</v>
      </c>
      <c r="E38" s="26"/>
      <c r="F38" s="27">
        <v>19.296900000000001</v>
      </c>
      <c r="G38" s="33">
        <v>16353</v>
      </c>
      <c r="H38" s="69">
        <f t="shared" si="0"/>
        <v>315562.20569999999</v>
      </c>
      <c r="I38" s="23"/>
    </row>
    <row r="39" spans="1:9" s="1" customFormat="1" x14ac:dyDescent="0.2">
      <c r="A39" s="24" t="s">
        <v>227</v>
      </c>
      <c r="B39" s="25" t="s">
        <v>964</v>
      </c>
      <c r="C39" s="25" t="s">
        <v>965</v>
      </c>
      <c r="D39" s="26" t="s">
        <v>28</v>
      </c>
      <c r="E39" s="26"/>
      <c r="F39" s="27">
        <v>1.8409</v>
      </c>
      <c r="G39" s="33">
        <v>1349</v>
      </c>
      <c r="H39" s="69">
        <f t="shared" si="0"/>
        <v>2483.3741</v>
      </c>
      <c r="I39" s="23"/>
    </row>
    <row r="40" spans="1:9" s="1" customFormat="1" x14ac:dyDescent="0.2">
      <c r="A40" s="24" t="s">
        <v>237</v>
      </c>
      <c r="B40" s="25" t="s">
        <v>622</v>
      </c>
      <c r="C40" s="25" t="s">
        <v>623</v>
      </c>
      <c r="D40" s="26" t="s">
        <v>28</v>
      </c>
      <c r="E40" s="26"/>
      <c r="F40" s="27">
        <v>2.4470999999999998</v>
      </c>
      <c r="G40" s="33">
        <v>39075</v>
      </c>
      <c r="H40" s="69">
        <f t="shared" si="0"/>
        <v>95620.432499999995</v>
      </c>
      <c r="I40" s="23"/>
    </row>
    <row r="41" spans="1:9" s="1" customFormat="1" ht="24" x14ac:dyDescent="0.2">
      <c r="A41" s="24" t="s">
        <v>257</v>
      </c>
      <c r="B41" s="25" t="s">
        <v>98</v>
      </c>
      <c r="C41" s="25" t="s">
        <v>99</v>
      </c>
      <c r="D41" s="26" t="s">
        <v>28</v>
      </c>
      <c r="E41" s="26"/>
      <c r="F41" s="27">
        <v>72.9559</v>
      </c>
      <c r="G41" s="33">
        <v>6858</v>
      </c>
      <c r="H41" s="69">
        <f t="shared" si="0"/>
        <v>500331.56219999999</v>
      </c>
      <c r="I41" s="23"/>
    </row>
    <row r="42" spans="1:9" s="1" customFormat="1" x14ac:dyDescent="0.2">
      <c r="A42" s="24" t="s">
        <v>273</v>
      </c>
      <c r="B42" s="25" t="s">
        <v>26</v>
      </c>
      <c r="C42" s="25" t="s">
        <v>27</v>
      </c>
      <c r="D42" s="26" t="s">
        <v>28</v>
      </c>
      <c r="E42" s="26"/>
      <c r="F42" s="27">
        <v>100.94799999999999</v>
      </c>
      <c r="G42" s="33">
        <v>1253</v>
      </c>
      <c r="H42" s="69">
        <f t="shared" si="0"/>
        <v>126487.844</v>
      </c>
      <c r="I42" s="23"/>
    </row>
    <row r="43" spans="1:9" s="1" customFormat="1" x14ac:dyDescent="0.2">
      <c r="A43" s="24" t="s">
        <v>283</v>
      </c>
      <c r="B43" s="25" t="s">
        <v>193</v>
      </c>
      <c r="C43" s="25" t="s">
        <v>31</v>
      </c>
      <c r="D43" s="26" t="s">
        <v>28</v>
      </c>
      <c r="E43" s="26"/>
      <c r="F43" s="27">
        <v>14.819000000000001</v>
      </c>
      <c r="G43" s="33">
        <v>106655</v>
      </c>
      <c r="H43" s="69">
        <f t="shared" si="0"/>
        <v>1580520.4450000001</v>
      </c>
      <c r="I43" s="23"/>
    </row>
    <row r="44" spans="1:9" s="1" customFormat="1" x14ac:dyDescent="0.2">
      <c r="A44" s="24" t="s">
        <v>288</v>
      </c>
      <c r="B44" s="25" t="s">
        <v>30</v>
      </c>
      <c r="C44" s="25" t="s">
        <v>31</v>
      </c>
      <c r="D44" s="26" t="s">
        <v>28</v>
      </c>
      <c r="E44" s="26"/>
      <c r="F44" s="27">
        <v>83.512299999999996</v>
      </c>
      <c r="G44" s="33">
        <v>106655</v>
      </c>
      <c r="H44" s="69">
        <f t="shared" si="0"/>
        <v>8907004.3564999998</v>
      </c>
      <c r="I44" s="23"/>
    </row>
    <row r="45" spans="1:9" s="1" customFormat="1" ht="24" x14ac:dyDescent="0.2">
      <c r="A45" s="24" t="s">
        <v>292</v>
      </c>
      <c r="B45" s="25" t="s">
        <v>737</v>
      </c>
      <c r="C45" s="25" t="s">
        <v>738</v>
      </c>
      <c r="D45" s="26" t="s">
        <v>28</v>
      </c>
      <c r="E45" s="26"/>
      <c r="F45" s="27">
        <v>14.784000000000001</v>
      </c>
      <c r="G45" s="33">
        <v>145261</v>
      </c>
      <c r="H45" s="69">
        <f t="shared" si="0"/>
        <v>2147538.6240000003</v>
      </c>
      <c r="I45" s="23"/>
    </row>
    <row r="46" spans="1:9" s="1" customFormat="1" ht="36" x14ac:dyDescent="0.2">
      <c r="A46" s="24" t="s">
        <v>298</v>
      </c>
      <c r="B46" s="25" t="s">
        <v>908</v>
      </c>
      <c r="C46" s="25" t="s">
        <v>909</v>
      </c>
      <c r="D46" s="26" t="s">
        <v>28</v>
      </c>
      <c r="E46" s="26"/>
      <c r="F46" s="27">
        <v>1.0585</v>
      </c>
      <c r="G46" s="33">
        <v>6265</v>
      </c>
      <c r="H46" s="69">
        <f t="shared" si="0"/>
        <v>6631.5024999999996</v>
      </c>
      <c r="I46" s="23"/>
    </row>
    <row r="47" spans="1:9" s="1" customFormat="1" ht="36" x14ac:dyDescent="0.2">
      <c r="A47" s="24" t="s">
        <v>333</v>
      </c>
      <c r="B47" s="25" t="s">
        <v>797</v>
      </c>
      <c r="C47" s="25" t="s">
        <v>798</v>
      </c>
      <c r="D47" s="26" t="s">
        <v>28</v>
      </c>
      <c r="E47" s="26"/>
      <c r="F47" s="27">
        <v>12.1881</v>
      </c>
      <c r="G47" s="33">
        <v>6265</v>
      </c>
      <c r="H47" s="69">
        <f t="shared" si="0"/>
        <v>76358.446500000005</v>
      </c>
      <c r="I47" s="23"/>
    </row>
    <row r="48" spans="1:9" s="1" customFormat="1" ht="24" x14ac:dyDescent="0.2">
      <c r="A48" s="24" t="s">
        <v>336</v>
      </c>
      <c r="B48" s="25" t="s">
        <v>242</v>
      </c>
      <c r="C48" s="25" t="s">
        <v>243</v>
      </c>
      <c r="D48" s="26" t="s">
        <v>28</v>
      </c>
      <c r="E48" s="26"/>
      <c r="F48" s="27">
        <v>481.75729999999999</v>
      </c>
      <c r="G48" s="33">
        <v>1053</v>
      </c>
      <c r="H48" s="69">
        <f t="shared" si="0"/>
        <v>507290.43689999997</v>
      </c>
      <c r="I48" s="23"/>
    </row>
    <row r="49" spans="1:9" s="1" customFormat="1" x14ac:dyDescent="0.2">
      <c r="A49" s="24" t="s">
        <v>343</v>
      </c>
      <c r="B49" s="25" t="s">
        <v>687</v>
      </c>
      <c r="C49" s="25" t="s">
        <v>688</v>
      </c>
      <c r="D49" s="26" t="s">
        <v>28</v>
      </c>
      <c r="E49" s="26"/>
      <c r="F49" s="27">
        <v>3.8029999999999999</v>
      </c>
      <c r="G49" s="33">
        <v>1586</v>
      </c>
      <c r="H49" s="69">
        <f t="shared" si="0"/>
        <v>6031.558</v>
      </c>
      <c r="I49" s="23"/>
    </row>
    <row r="50" spans="1:9" s="1" customFormat="1" x14ac:dyDescent="0.2">
      <c r="A50" s="24" t="s">
        <v>349</v>
      </c>
      <c r="B50" s="25" t="s">
        <v>967</v>
      </c>
      <c r="C50" s="25" t="s">
        <v>968</v>
      </c>
      <c r="D50" s="26" t="s">
        <v>28</v>
      </c>
      <c r="E50" s="26"/>
      <c r="F50" s="27">
        <v>3.4243000000000001</v>
      </c>
      <c r="G50" s="33">
        <v>27087</v>
      </c>
      <c r="H50" s="69">
        <f t="shared" si="0"/>
        <v>92754.0141</v>
      </c>
      <c r="I50" s="23"/>
    </row>
    <row r="51" spans="1:9" s="1" customFormat="1" x14ac:dyDescent="0.2">
      <c r="A51" s="24" t="s">
        <v>356</v>
      </c>
      <c r="B51" s="25" t="s">
        <v>33</v>
      </c>
      <c r="C51" s="25" t="s">
        <v>34</v>
      </c>
      <c r="D51" s="26" t="s">
        <v>28</v>
      </c>
      <c r="E51" s="26"/>
      <c r="F51" s="27">
        <v>60.403199999999998</v>
      </c>
      <c r="G51" s="33">
        <v>1732</v>
      </c>
      <c r="H51" s="69">
        <f t="shared" si="0"/>
        <v>104618.34239999999</v>
      </c>
      <c r="I51" s="23"/>
    </row>
    <row r="52" spans="1:9" s="1" customFormat="1" x14ac:dyDescent="0.2">
      <c r="A52" s="24" t="s">
        <v>362</v>
      </c>
      <c r="B52" s="25" t="s">
        <v>519</v>
      </c>
      <c r="C52" s="25" t="s">
        <v>520</v>
      </c>
      <c r="D52" s="26" t="s">
        <v>28</v>
      </c>
      <c r="E52" s="26"/>
      <c r="F52" s="27">
        <v>4.5692000000000004</v>
      </c>
      <c r="G52" s="33">
        <v>21745</v>
      </c>
      <c r="H52" s="69">
        <f t="shared" si="0"/>
        <v>99357.254000000015</v>
      </c>
      <c r="I52" s="23"/>
    </row>
    <row r="53" spans="1:9" s="1" customFormat="1" x14ac:dyDescent="0.2">
      <c r="A53" s="24" t="s">
        <v>370</v>
      </c>
      <c r="B53" s="25" t="s">
        <v>102</v>
      </c>
      <c r="C53" s="25" t="s">
        <v>103</v>
      </c>
      <c r="D53" s="26" t="s">
        <v>28</v>
      </c>
      <c r="E53" s="26"/>
      <c r="F53" s="27">
        <v>430.93349999999998</v>
      </c>
      <c r="G53" s="33">
        <v>1399</v>
      </c>
      <c r="H53" s="69">
        <f t="shared" si="0"/>
        <v>602875.96649999998</v>
      </c>
      <c r="I53" s="23"/>
    </row>
    <row r="54" spans="1:9" s="1" customFormat="1" ht="12.75" customHeight="1" x14ac:dyDescent="0.2">
      <c r="A54" s="29"/>
      <c r="B54" s="76" t="s">
        <v>1369</v>
      </c>
      <c r="C54" s="77"/>
      <c r="D54" s="30" t="s">
        <v>1368</v>
      </c>
      <c r="E54" s="30"/>
      <c r="F54" s="31"/>
      <c r="G54" s="32"/>
      <c r="H54" s="70">
        <f>SUM(H22:H53)</f>
        <v>41251978.613899991</v>
      </c>
      <c r="I54" s="23"/>
    </row>
    <row r="55" spans="1:9" s="1" customFormat="1" x14ac:dyDescent="0.2">
      <c r="A55" s="78"/>
      <c r="B55" s="79"/>
      <c r="C55" s="79"/>
      <c r="D55" s="79"/>
      <c r="E55" s="79"/>
      <c r="F55" s="79"/>
      <c r="G55" s="79"/>
      <c r="H55" s="79"/>
      <c r="I55" s="23"/>
    </row>
    <row r="56" spans="1:9" s="1" customFormat="1" x14ac:dyDescent="0.2">
      <c r="A56" s="17"/>
      <c r="B56" s="18"/>
      <c r="C56" s="19" t="s">
        <v>1308</v>
      </c>
      <c r="D56" s="20"/>
      <c r="E56" s="20"/>
      <c r="F56" s="21"/>
      <c r="G56" s="22"/>
      <c r="H56" s="68"/>
      <c r="I56" s="23"/>
    </row>
    <row r="57" spans="1:9" s="1" customFormat="1" x14ac:dyDescent="0.2">
      <c r="A57" s="24" t="s">
        <v>375</v>
      </c>
      <c r="B57" s="25" t="s">
        <v>438</v>
      </c>
      <c r="C57" s="25" t="s">
        <v>439</v>
      </c>
      <c r="D57" s="26" t="s">
        <v>107</v>
      </c>
      <c r="E57" s="26"/>
      <c r="F57" s="27">
        <v>3.7155</v>
      </c>
      <c r="G57" s="33">
        <v>8036000</v>
      </c>
      <c r="H57" s="69">
        <f>+G57*F57</f>
        <v>29857758</v>
      </c>
      <c r="I57" s="23"/>
    </row>
    <row r="58" spans="1:9" s="1" customFormat="1" ht="36" x14ac:dyDescent="0.2">
      <c r="A58" s="24" t="s">
        <v>379</v>
      </c>
      <c r="B58" s="25" t="s">
        <v>167</v>
      </c>
      <c r="C58" s="25" t="s">
        <v>168</v>
      </c>
      <c r="D58" s="26" t="s">
        <v>107</v>
      </c>
      <c r="E58" s="26"/>
      <c r="F58" s="27">
        <v>8.1300000000000003E-4</v>
      </c>
      <c r="G58" s="33">
        <v>8900000</v>
      </c>
      <c r="H58" s="69">
        <f t="shared" ref="H58:H121" si="1">+G58*F58</f>
        <v>7235.7</v>
      </c>
      <c r="I58" s="23"/>
    </row>
    <row r="59" spans="1:9" s="1" customFormat="1" x14ac:dyDescent="0.2">
      <c r="A59" s="24" t="s">
        <v>385</v>
      </c>
      <c r="B59" s="25" t="s">
        <v>418</v>
      </c>
      <c r="C59" s="25" t="s">
        <v>419</v>
      </c>
      <c r="D59" s="26" t="s">
        <v>420</v>
      </c>
      <c r="E59" s="26"/>
      <c r="F59" s="27">
        <v>6.1307999999999998</v>
      </c>
      <c r="G59" s="33">
        <v>325500</v>
      </c>
      <c r="H59" s="69">
        <f t="shared" si="1"/>
        <v>1995575.4</v>
      </c>
      <c r="I59" s="23"/>
    </row>
    <row r="60" spans="1:9" s="1" customFormat="1" ht="24" x14ac:dyDescent="0.2">
      <c r="A60" s="24" t="s">
        <v>392</v>
      </c>
      <c r="B60" s="25" t="s">
        <v>673</v>
      </c>
      <c r="C60" s="25" t="s">
        <v>674</v>
      </c>
      <c r="D60" s="26" t="s">
        <v>420</v>
      </c>
      <c r="E60" s="26"/>
      <c r="F60" s="27">
        <v>0.38977499999999998</v>
      </c>
      <c r="G60" s="33">
        <v>332390</v>
      </c>
      <c r="H60" s="69">
        <f t="shared" si="1"/>
        <v>129557.31224999999</v>
      </c>
      <c r="I60" s="23"/>
    </row>
    <row r="61" spans="1:9" s="1" customFormat="1" ht="24" x14ac:dyDescent="0.2">
      <c r="A61" s="24" t="s">
        <v>399</v>
      </c>
      <c r="B61" s="25" t="s">
        <v>626</v>
      </c>
      <c r="C61" s="25" t="s">
        <v>627</v>
      </c>
      <c r="D61" s="26" t="s">
        <v>420</v>
      </c>
      <c r="E61" s="26"/>
      <c r="F61" s="27">
        <v>4.8068</v>
      </c>
      <c r="G61" s="33">
        <v>484821</v>
      </c>
      <c r="H61" s="69">
        <f t="shared" si="1"/>
        <v>2330437.5828</v>
      </c>
      <c r="I61" s="23"/>
    </row>
    <row r="62" spans="1:9" s="1" customFormat="1" x14ac:dyDescent="0.2">
      <c r="A62" s="24" t="s">
        <v>406</v>
      </c>
      <c r="B62" s="25" t="s">
        <v>841</v>
      </c>
      <c r="C62" s="25" t="s">
        <v>842</v>
      </c>
      <c r="D62" s="26" t="s">
        <v>420</v>
      </c>
      <c r="E62" s="26"/>
      <c r="F62" s="27">
        <v>11.800800000000001</v>
      </c>
      <c r="G62" s="33">
        <v>484821</v>
      </c>
      <c r="H62" s="69">
        <f t="shared" si="1"/>
        <v>5721275.6568</v>
      </c>
      <c r="I62" s="23"/>
    </row>
    <row r="63" spans="1:9" s="1" customFormat="1" x14ac:dyDescent="0.2">
      <c r="A63" s="24" t="s">
        <v>413</v>
      </c>
      <c r="B63" s="25" t="s">
        <v>448</v>
      </c>
      <c r="C63" s="25" t="s">
        <v>449</v>
      </c>
      <c r="D63" s="26" t="s">
        <v>420</v>
      </c>
      <c r="E63" s="26"/>
      <c r="F63" s="27">
        <v>172.96510000000001</v>
      </c>
      <c r="G63" s="33">
        <v>484821</v>
      </c>
      <c r="H63" s="69">
        <f t="shared" si="1"/>
        <v>83857112.747100011</v>
      </c>
      <c r="I63" s="23"/>
    </row>
    <row r="64" spans="1:9" s="1" customFormat="1" ht="24" x14ac:dyDescent="0.2">
      <c r="A64" s="24" t="s">
        <v>423</v>
      </c>
      <c r="B64" s="25" t="s">
        <v>848</v>
      </c>
      <c r="C64" s="25" t="s">
        <v>849</v>
      </c>
      <c r="D64" s="26" t="s">
        <v>420</v>
      </c>
      <c r="E64" s="26"/>
      <c r="F64" s="27">
        <v>2.2052</v>
      </c>
      <c r="G64" s="33">
        <v>332390</v>
      </c>
      <c r="H64" s="69">
        <f t="shared" si="1"/>
        <v>732986.42800000007</v>
      </c>
      <c r="I64" s="23"/>
    </row>
    <row r="65" spans="1:9" s="1" customFormat="1" x14ac:dyDescent="0.2">
      <c r="A65" s="24" t="s">
        <v>429</v>
      </c>
      <c r="B65" s="25" t="s">
        <v>216</v>
      </c>
      <c r="C65" s="25" t="s">
        <v>217</v>
      </c>
      <c r="D65" s="26" t="s">
        <v>107</v>
      </c>
      <c r="E65" s="26"/>
      <c r="F65" s="27">
        <v>6.7275</v>
      </c>
      <c r="G65" s="33">
        <v>1150000</v>
      </c>
      <c r="H65" s="69">
        <f t="shared" si="1"/>
        <v>7736625</v>
      </c>
      <c r="I65" s="23"/>
    </row>
    <row r="66" spans="1:9" s="1" customFormat="1" x14ac:dyDescent="0.2">
      <c r="A66" s="24" t="s">
        <v>432</v>
      </c>
      <c r="B66" s="25" t="s">
        <v>629</v>
      </c>
      <c r="C66" s="25" t="s">
        <v>630</v>
      </c>
      <c r="D66" s="26" t="s">
        <v>38</v>
      </c>
      <c r="E66" s="26"/>
      <c r="F66" s="27">
        <v>234.08099999999999</v>
      </c>
      <c r="G66" s="33">
        <v>80000</v>
      </c>
      <c r="H66" s="69">
        <f t="shared" si="1"/>
        <v>18726480</v>
      </c>
      <c r="I66" s="23"/>
    </row>
    <row r="67" spans="1:9" s="1" customFormat="1" ht="24" x14ac:dyDescent="0.2">
      <c r="A67" s="24" t="s">
        <v>443</v>
      </c>
      <c r="B67" s="25" t="s">
        <v>981</v>
      </c>
      <c r="C67" s="25" t="s">
        <v>982</v>
      </c>
      <c r="D67" s="26" t="s">
        <v>38</v>
      </c>
      <c r="E67" s="26"/>
      <c r="F67" s="27">
        <v>7.3079999999999998</v>
      </c>
      <c r="G67" s="33">
        <v>141000</v>
      </c>
      <c r="H67" s="69">
        <f t="shared" si="1"/>
        <v>1030428</v>
      </c>
      <c r="I67" s="23"/>
    </row>
    <row r="68" spans="1:9" s="1" customFormat="1" x14ac:dyDescent="0.2">
      <c r="A68" s="24" t="s">
        <v>450</v>
      </c>
      <c r="B68" s="25" t="s">
        <v>984</v>
      </c>
      <c r="C68" s="25" t="s">
        <v>985</v>
      </c>
      <c r="D68" s="26" t="s">
        <v>42</v>
      </c>
      <c r="E68" s="26"/>
      <c r="F68" s="27">
        <v>167.04</v>
      </c>
      <c r="G68" s="33">
        <v>200</v>
      </c>
      <c r="H68" s="69">
        <f t="shared" si="1"/>
        <v>33408</v>
      </c>
      <c r="I68" s="23"/>
    </row>
    <row r="69" spans="1:9" s="1" customFormat="1" x14ac:dyDescent="0.2">
      <c r="A69" s="24" t="s">
        <v>455</v>
      </c>
      <c r="B69" s="25" t="s">
        <v>987</v>
      </c>
      <c r="C69" s="25" t="s">
        <v>988</v>
      </c>
      <c r="D69" s="26" t="s">
        <v>42</v>
      </c>
      <c r="E69" s="26"/>
      <c r="F69" s="27">
        <v>13.92</v>
      </c>
      <c r="G69" s="33">
        <v>1000</v>
      </c>
      <c r="H69" s="69">
        <f t="shared" si="1"/>
        <v>13920</v>
      </c>
      <c r="I69" s="23"/>
    </row>
    <row r="70" spans="1:9" s="1" customFormat="1" x14ac:dyDescent="0.2">
      <c r="A70" s="24" t="s">
        <v>467</v>
      </c>
      <c r="B70" s="25" t="s">
        <v>646</v>
      </c>
      <c r="C70" s="25" t="s">
        <v>647</v>
      </c>
      <c r="D70" s="26" t="s">
        <v>42</v>
      </c>
      <c r="E70" s="26"/>
      <c r="F70" s="27">
        <v>130.81319999999999</v>
      </c>
      <c r="G70" s="33">
        <v>1000</v>
      </c>
      <c r="H70" s="69">
        <f t="shared" si="1"/>
        <v>130813.2</v>
      </c>
      <c r="I70" s="23"/>
    </row>
    <row r="71" spans="1:9" s="1" customFormat="1" x14ac:dyDescent="0.2">
      <c r="A71" s="24" t="s">
        <v>487</v>
      </c>
      <c r="B71" s="25" t="s">
        <v>649</v>
      </c>
      <c r="C71" s="25" t="s">
        <v>650</v>
      </c>
      <c r="D71" s="26" t="s">
        <v>42</v>
      </c>
      <c r="E71" s="26"/>
      <c r="F71" s="27">
        <v>130.81319999999999</v>
      </c>
      <c r="G71" s="33">
        <v>1000</v>
      </c>
      <c r="H71" s="69">
        <f t="shared" si="1"/>
        <v>130813.2</v>
      </c>
      <c r="I71" s="23"/>
    </row>
    <row r="72" spans="1:9" s="1" customFormat="1" x14ac:dyDescent="0.2">
      <c r="A72" s="24" t="s">
        <v>496</v>
      </c>
      <c r="B72" s="25" t="s">
        <v>652</v>
      </c>
      <c r="C72" s="25" t="s">
        <v>653</v>
      </c>
      <c r="D72" s="26" t="s">
        <v>42</v>
      </c>
      <c r="E72" s="26"/>
      <c r="F72" s="27">
        <v>747.50400000000002</v>
      </c>
      <c r="G72" s="33">
        <v>1000</v>
      </c>
      <c r="H72" s="69">
        <f t="shared" si="1"/>
        <v>747504</v>
      </c>
      <c r="I72" s="23"/>
    </row>
    <row r="73" spans="1:9" s="1" customFormat="1" x14ac:dyDescent="0.2">
      <c r="A73" s="24" t="s">
        <v>499</v>
      </c>
      <c r="B73" s="25" t="s">
        <v>655</v>
      </c>
      <c r="C73" s="25" t="s">
        <v>656</v>
      </c>
      <c r="D73" s="26" t="s">
        <v>42</v>
      </c>
      <c r="E73" s="26"/>
      <c r="F73" s="27">
        <v>299.0016</v>
      </c>
      <c r="G73" s="33">
        <v>1000</v>
      </c>
      <c r="H73" s="69">
        <f t="shared" si="1"/>
        <v>299001.59999999998</v>
      </c>
      <c r="I73" s="23"/>
    </row>
    <row r="74" spans="1:9" s="1" customFormat="1" x14ac:dyDescent="0.2">
      <c r="A74" s="24" t="s">
        <v>501</v>
      </c>
      <c r="B74" s="25" t="s">
        <v>121</v>
      </c>
      <c r="C74" s="25" t="s">
        <v>122</v>
      </c>
      <c r="D74" s="26" t="s">
        <v>38</v>
      </c>
      <c r="E74" s="26"/>
      <c r="F74" s="27">
        <v>251.37</v>
      </c>
      <c r="G74" s="33">
        <v>550000</v>
      </c>
      <c r="H74" s="69">
        <f t="shared" si="1"/>
        <v>138253500</v>
      </c>
      <c r="I74" s="23"/>
    </row>
    <row r="75" spans="1:9" s="1" customFormat="1" ht="24" x14ac:dyDescent="0.2">
      <c r="A75" s="24" t="s">
        <v>506</v>
      </c>
      <c r="B75" s="25" t="s">
        <v>1228</v>
      </c>
      <c r="C75" s="25" t="s">
        <v>1229</v>
      </c>
      <c r="D75" s="26" t="s">
        <v>107</v>
      </c>
      <c r="E75" s="26"/>
      <c r="F75" s="27">
        <v>1.9599999999999999E-2</v>
      </c>
      <c r="G75" s="33">
        <v>15402000</v>
      </c>
      <c r="H75" s="69">
        <f t="shared" si="1"/>
        <v>301879.2</v>
      </c>
      <c r="I75" s="23"/>
    </row>
    <row r="76" spans="1:9" s="1" customFormat="1" x14ac:dyDescent="0.2">
      <c r="A76" s="24" t="s">
        <v>509</v>
      </c>
      <c r="B76" s="25" t="s">
        <v>1177</v>
      </c>
      <c r="C76" s="25" t="s">
        <v>1178</v>
      </c>
      <c r="D76" s="26" t="s">
        <v>107</v>
      </c>
      <c r="E76" s="26"/>
      <c r="F76" s="27">
        <v>2.3E-5</v>
      </c>
      <c r="G76" s="33">
        <v>15402000</v>
      </c>
      <c r="H76" s="69">
        <f t="shared" si="1"/>
        <v>354.24599999999998</v>
      </c>
      <c r="I76" s="23"/>
    </row>
    <row r="77" spans="1:9" s="1" customFormat="1" x14ac:dyDescent="0.2">
      <c r="A77" s="24" t="s">
        <v>513</v>
      </c>
      <c r="B77" s="25" t="s">
        <v>155</v>
      </c>
      <c r="C77" s="25" t="s">
        <v>156</v>
      </c>
      <c r="D77" s="26" t="s">
        <v>107</v>
      </c>
      <c r="E77" s="26"/>
      <c r="F77" s="27">
        <v>5.9299999999999999E-4</v>
      </c>
      <c r="G77" s="33">
        <v>9500000</v>
      </c>
      <c r="H77" s="69">
        <f t="shared" si="1"/>
        <v>5633.5</v>
      </c>
      <c r="I77" s="23"/>
    </row>
    <row r="78" spans="1:9" s="1" customFormat="1" x14ac:dyDescent="0.2">
      <c r="A78" s="24" t="s">
        <v>532</v>
      </c>
      <c r="B78" s="25" t="s">
        <v>124</v>
      </c>
      <c r="C78" s="25" t="s">
        <v>125</v>
      </c>
      <c r="D78" s="26" t="s">
        <v>107</v>
      </c>
      <c r="E78" s="26"/>
      <c r="F78" s="27">
        <v>2.5446E-2</v>
      </c>
      <c r="G78" s="33">
        <v>9500000</v>
      </c>
      <c r="H78" s="69">
        <f t="shared" si="1"/>
        <v>241737</v>
      </c>
      <c r="I78" s="23"/>
    </row>
    <row r="79" spans="1:9" s="1" customFormat="1" ht="24" x14ac:dyDescent="0.2">
      <c r="A79" s="24" t="s">
        <v>540</v>
      </c>
      <c r="B79" s="25" t="s">
        <v>184</v>
      </c>
      <c r="C79" s="25" t="s">
        <v>185</v>
      </c>
      <c r="D79" s="26" t="s">
        <v>38</v>
      </c>
      <c r="E79" s="26"/>
      <c r="F79" s="27">
        <v>39.884999999999998</v>
      </c>
      <c r="G79" s="33">
        <v>650000</v>
      </c>
      <c r="H79" s="69">
        <f t="shared" si="1"/>
        <v>25925250</v>
      </c>
      <c r="I79" s="23"/>
    </row>
    <row r="80" spans="1:9" s="1" customFormat="1" x14ac:dyDescent="0.2">
      <c r="A80" s="24" t="s">
        <v>547</v>
      </c>
      <c r="B80" s="25" t="s">
        <v>970</v>
      </c>
      <c r="C80" s="25" t="s">
        <v>971</v>
      </c>
      <c r="D80" s="26" t="s">
        <v>42</v>
      </c>
      <c r="E80" s="26"/>
      <c r="F80" s="27">
        <v>83.52</v>
      </c>
      <c r="G80" s="33">
        <v>50</v>
      </c>
      <c r="H80" s="69">
        <f t="shared" si="1"/>
        <v>4176</v>
      </c>
      <c r="I80" s="23"/>
    </row>
    <row r="81" spans="1:9" s="1" customFormat="1" x14ac:dyDescent="0.2">
      <c r="A81" s="24" t="s">
        <v>555</v>
      </c>
      <c r="B81" s="25" t="s">
        <v>195</v>
      </c>
      <c r="C81" s="25" t="s">
        <v>196</v>
      </c>
      <c r="D81" s="26" t="s">
        <v>107</v>
      </c>
      <c r="E81" s="26"/>
      <c r="F81" s="27">
        <v>0.13311899999999999</v>
      </c>
      <c r="G81" s="33">
        <v>300000</v>
      </c>
      <c r="H81" s="69">
        <f t="shared" si="1"/>
        <v>39935.699999999997</v>
      </c>
      <c r="I81" s="23"/>
    </row>
    <row r="82" spans="1:9" s="1" customFormat="1" ht="36" x14ac:dyDescent="0.2">
      <c r="A82" s="24" t="s">
        <v>558</v>
      </c>
      <c r="B82" s="25" t="s">
        <v>522</v>
      </c>
      <c r="C82" s="25" t="s">
        <v>523</v>
      </c>
      <c r="D82" s="26" t="s">
        <v>38</v>
      </c>
      <c r="E82" s="26"/>
      <c r="F82" s="27">
        <v>298.75799999999998</v>
      </c>
      <c r="G82" s="33">
        <v>48000</v>
      </c>
      <c r="H82" s="69">
        <f t="shared" si="1"/>
        <v>14340384</v>
      </c>
      <c r="I82" s="23"/>
    </row>
    <row r="83" spans="1:9" s="1" customFormat="1" x14ac:dyDescent="0.2">
      <c r="A83" s="24" t="s">
        <v>561</v>
      </c>
      <c r="B83" s="25" t="s">
        <v>658</v>
      </c>
      <c r="C83" s="25" t="s">
        <v>659</v>
      </c>
      <c r="D83" s="26" t="s">
        <v>660</v>
      </c>
      <c r="E83" s="26"/>
      <c r="F83" s="27">
        <v>491.48390000000001</v>
      </c>
      <c r="G83" s="33">
        <v>2000</v>
      </c>
      <c r="H83" s="69">
        <f t="shared" si="1"/>
        <v>982967.8</v>
      </c>
      <c r="I83" s="23"/>
    </row>
    <row r="84" spans="1:9" s="1" customFormat="1" ht="24" x14ac:dyDescent="0.2">
      <c r="A84" s="24" t="s">
        <v>569</v>
      </c>
      <c r="B84" s="25" t="s">
        <v>932</v>
      </c>
      <c r="C84" s="25" t="s">
        <v>933</v>
      </c>
      <c r="D84" s="26" t="s">
        <v>42</v>
      </c>
      <c r="E84" s="26"/>
      <c r="F84" s="27">
        <v>2108.634</v>
      </c>
      <c r="G84" s="33">
        <v>200</v>
      </c>
      <c r="H84" s="69">
        <f t="shared" si="1"/>
        <v>421726.8</v>
      </c>
      <c r="I84" s="23"/>
    </row>
    <row r="85" spans="1:9" s="1" customFormat="1" ht="24" x14ac:dyDescent="0.2">
      <c r="A85" s="24" t="s">
        <v>577</v>
      </c>
      <c r="B85" s="25" t="s">
        <v>935</v>
      </c>
      <c r="C85" s="25" t="s">
        <v>936</v>
      </c>
      <c r="D85" s="26" t="s">
        <v>42</v>
      </c>
      <c r="E85" s="26"/>
      <c r="F85" s="27">
        <v>264.80520000000001</v>
      </c>
      <c r="G85" s="33">
        <v>250</v>
      </c>
      <c r="H85" s="69">
        <f t="shared" si="1"/>
        <v>66201.3</v>
      </c>
      <c r="I85" s="23"/>
    </row>
    <row r="86" spans="1:9" s="1" customFormat="1" ht="24" x14ac:dyDescent="0.2">
      <c r="A86" s="24" t="s">
        <v>584</v>
      </c>
      <c r="B86" s="25" t="s">
        <v>938</v>
      </c>
      <c r="C86" s="25" t="s">
        <v>939</v>
      </c>
      <c r="D86" s="26" t="s">
        <v>69</v>
      </c>
      <c r="E86" s="26"/>
      <c r="F86" s="27">
        <v>52.307200000000002</v>
      </c>
      <c r="G86" s="33">
        <v>500</v>
      </c>
      <c r="H86" s="69">
        <f t="shared" si="1"/>
        <v>26153.600000000002</v>
      </c>
      <c r="I86" s="23"/>
    </row>
    <row r="87" spans="1:9" s="1" customFormat="1" ht="24" x14ac:dyDescent="0.2">
      <c r="A87" s="24" t="s">
        <v>587</v>
      </c>
      <c r="B87" s="25" t="s">
        <v>306</v>
      </c>
      <c r="C87" s="25" t="s">
        <v>307</v>
      </c>
      <c r="D87" s="26" t="s">
        <v>42</v>
      </c>
      <c r="E87" s="26"/>
      <c r="F87" s="27">
        <v>1355.0039999999999</v>
      </c>
      <c r="G87" s="33">
        <v>100</v>
      </c>
      <c r="H87" s="69">
        <f t="shared" si="1"/>
        <v>135500.4</v>
      </c>
      <c r="I87" s="23"/>
    </row>
    <row r="88" spans="1:9" s="1" customFormat="1" ht="24" x14ac:dyDescent="0.2">
      <c r="A88" s="24" t="s">
        <v>595</v>
      </c>
      <c r="B88" s="25" t="s">
        <v>309</v>
      </c>
      <c r="C88" s="25" t="s">
        <v>310</v>
      </c>
      <c r="D88" s="26" t="s">
        <v>311</v>
      </c>
      <c r="E88" s="26"/>
      <c r="F88" s="27">
        <v>3.5657999999999999</v>
      </c>
      <c r="G88" s="33">
        <v>100000</v>
      </c>
      <c r="H88" s="69">
        <f t="shared" si="1"/>
        <v>356580</v>
      </c>
      <c r="I88" s="23"/>
    </row>
    <row r="89" spans="1:9" s="1" customFormat="1" x14ac:dyDescent="0.2">
      <c r="A89" s="24" t="s">
        <v>599</v>
      </c>
      <c r="B89" s="25" t="s">
        <v>245</v>
      </c>
      <c r="C89" s="25" t="s">
        <v>246</v>
      </c>
      <c r="D89" s="26" t="s">
        <v>107</v>
      </c>
      <c r="E89" s="26"/>
      <c r="F89" s="27">
        <v>61.214399999999998</v>
      </c>
      <c r="G89" s="33">
        <v>1150000</v>
      </c>
      <c r="H89" s="69">
        <f t="shared" si="1"/>
        <v>70396560</v>
      </c>
      <c r="I89" s="23"/>
    </row>
    <row r="90" spans="1:9" s="1" customFormat="1" x14ac:dyDescent="0.2">
      <c r="A90" s="24" t="s">
        <v>604</v>
      </c>
      <c r="B90" s="25" t="s">
        <v>313</v>
      </c>
      <c r="C90" s="25" t="s">
        <v>314</v>
      </c>
      <c r="D90" s="26" t="s">
        <v>107</v>
      </c>
      <c r="E90" s="26"/>
      <c r="F90" s="27">
        <v>0.17829</v>
      </c>
      <c r="G90" s="33">
        <v>1150000</v>
      </c>
      <c r="H90" s="69">
        <f t="shared" si="1"/>
        <v>205033.5</v>
      </c>
      <c r="I90" s="23"/>
    </row>
    <row r="91" spans="1:9" s="1" customFormat="1" x14ac:dyDescent="0.2">
      <c r="A91" s="24" t="s">
        <v>607</v>
      </c>
      <c r="B91" s="25" t="s">
        <v>248</v>
      </c>
      <c r="C91" s="25" t="s">
        <v>249</v>
      </c>
      <c r="D91" s="26" t="s">
        <v>250</v>
      </c>
      <c r="E91" s="26"/>
      <c r="F91" s="27">
        <v>918.21600000000001</v>
      </c>
      <c r="G91" s="33">
        <v>12000</v>
      </c>
      <c r="H91" s="69">
        <f t="shared" si="1"/>
        <v>11018592</v>
      </c>
      <c r="I91" s="23"/>
    </row>
    <row r="92" spans="1:9" s="1" customFormat="1" ht="24" x14ac:dyDescent="0.2">
      <c r="A92" s="24" t="s">
        <v>610</v>
      </c>
      <c r="B92" s="25" t="s">
        <v>316</v>
      </c>
      <c r="C92" s="25" t="s">
        <v>317</v>
      </c>
      <c r="D92" s="26" t="s">
        <v>38</v>
      </c>
      <c r="E92" s="26"/>
      <c r="F92" s="27">
        <v>748.81799999999998</v>
      </c>
      <c r="G92" s="33">
        <v>16250</v>
      </c>
      <c r="H92" s="69">
        <f t="shared" si="1"/>
        <v>12168292.5</v>
      </c>
      <c r="I92" s="23"/>
    </row>
    <row r="93" spans="1:9" s="1" customFormat="1" x14ac:dyDescent="0.2">
      <c r="A93" s="24" t="s">
        <v>616</v>
      </c>
      <c r="B93" s="25" t="s">
        <v>319</v>
      </c>
      <c r="C93" s="25" t="s">
        <v>320</v>
      </c>
      <c r="D93" s="26" t="s">
        <v>63</v>
      </c>
      <c r="E93" s="26"/>
      <c r="F93" s="27">
        <v>5.3487</v>
      </c>
      <c r="G93" s="33">
        <v>15000</v>
      </c>
      <c r="H93" s="69">
        <f t="shared" si="1"/>
        <v>80230.5</v>
      </c>
      <c r="I93" s="23"/>
    </row>
    <row r="94" spans="1:9" s="1" customFormat="1" ht="24" x14ac:dyDescent="0.2">
      <c r="A94" s="24" t="s">
        <v>635</v>
      </c>
      <c r="B94" s="25" t="s">
        <v>941</v>
      </c>
      <c r="C94" s="25" t="s">
        <v>942</v>
      </c>
      <c r="D94" s="26" t="s">
        <v>38</v>
      </c>
      <c r="E94" s="26"/>
      <c r="F94" s="27">
        <v>346.53519999999997</v>
      </c>
      <c r="G94" s="33">
        <v>75450</v>
      </c>
      <c r="H94" s="69">
        <f t="shared" si="1"/>
        <v>26146080.84</v>
      </c>
      <c r="I94" s="23"/>
    </row>
    <row r="95" spans="1:9" s="1" customFormat="1" x14ac:dyDescent="0.2">
      <c r="A95" s="24" t="s">
        <v>667</v>
      </c>
      <c r="B95" s="25" t="s">
        <v>252</v>
      </c>
      <c r="C95" s="25" t="s">
        <v>253</v>
      </c>
      <c r="D95" s="26" t="s">
        <v>69</v>
      </c>
      <c r="E95" s="26"/>
      <c r="F95" s="27">
        <v>14079.312</v>
      </c>
      <c r="G95" s="33">
        <v>500</v>
      </c>
      <c r="H95" s="69">
        <f t="shared" si="1"/>
        <v>7039656</v>
      </c>
      <c r="I95" s="23"/>
    </row>
    <row r="96" spans="1:9" s="1" customFormat="1" x14ac:dyDescent="0.2">
      <c r="A96" s="24" t="s">
        <v>677</v>
      </c>
      <c r="B96" s="25" t="s">
        <v>255</v>
      </c>
      <c r="C96" s="25" t="s">
        <v>256</v>
      </c>
      <c r="D96" s="26" t="s">
        <v>69</v>
      </c>
      <c r="E96" s="26"/>
      <c r="F96" s="27">
        <v>2632.2192</v>
      </c>
      <c r="G96" s="33">
        <v>500</v>
      </c>
      <c r="H96" s="69">
        <f t="shared" si="1"/>
        <v>1316109.6000000001</v>
      </c>
      <c r="I96" s="23"/>
    </row>
    <row r="97" spans="1:9" s="1" customFormat="1" ht="24" x14ac:dyDescent="0.2">
      <c r="A97" s="24" t="s">
        <v>700</v>
      </c>
      <c r="B97" s="25" t="s">
        <v>322</v>
      </c>
      <c r="C97" s="25" t="s">
        <v>323</v>
      </c>
      <c r="D97" s="26" t="s">
        <v>69</v>
      </c>
      <c r="E97" s="26"/>
      <c r="F97" s="27">
        <v>499.21199999999999</v>
      </c>
      <c r="G97" s="33">
        <v>5000</v>
      </c>
      <c r="H97" s="69">
        <f t="shared" si="1"/>
        <v>2496060</v>
      </c>
      <c r="I97" s="23"/>
    </row>
    <row r="98" spans="1:9" s="1" customFormat="1" ht="24" x14ac:dyDescent="0.2">
      <c r="A98" s="24" t="s">
        <v>709</v>
      </c>
      <c r="B98" s="25" t="s">
        <v>325</v>
      </c>
      <c r="C98" s="25" t="s">
        <v>326</v>
      </c>
      <c r="D98" s="26" t="s">
        <v>69</v>
      </c>
      <c r="E98" s="26"/>
      <c r="F98" s="27">
        <v>1426.32</v>
      </c>
      <c r="G98" s="33">
        <v>5500</v>
      </c>
      <c r="H98" s="69">
        <f t="shared" si="1"/>
        <v>7844760</v>
      </c>
      <c r="I98" s="23"/>
    </row>
    <row r="99" spans="1:9" s="1" customFormat="1" ht="24" x14ac:dyDescent="0.2">
      <c r="A99" s="24" t="s">
        <v>714</v>
      </c>
      <c r="B99" s="25" t="s">
        <v>328</v>
      </c>
      <c r="C99" s="25" t="s">
        <v>329</v>
      </c>
      <c r="D99" s="26" t="s">
        <v>42</v>
      </c>
      <c r="E99" s="26"/>
      <c r="F99" s="27">
        <v>499.21199999999999</v>
      </c>
      <c r="G99" s="33">
        <v>1000</v>
      </c>
      <c r="H99" s="69">
        <f t="shared" si="1"/>
        <v>499212</v>
      </c>
      <c r="I99" s="23"/>
    </row>
    <row r="100" spans="1:9" s="1" customFormat="1" x14ac:dyDescent="0.2">
      <c r="A100" s="24" t="s">
        <v>717</v>
      </c>
      <c r="B100" s="25" t="s">
        <v>87</v>
      </c>
      <c r="C100" s="25" t="s">
        <v>88</v>
      </c>
      <c r="D100" s="26" t="s">
        <v>38</v>
      </c>
      <c r="E100" s="26"/>
      <c r="F100" s="27">
        <v>115.2</v>
      </c>
      <c r="G100" s="33">
        <v>650000</v>
      </c>
      <c r="H100" s="69">
        <f t="shared" si="1"/>
        <v>74880000</v>
      </c>
      <c r="I100" s="23"/>
    </row>
    <row r="101" spans="1:9" s="1" customFormat="1" x14ac:dyDescent="0.2">
      <c r="A101" s="24" t="s">
        <v>719</v>
      </c>
      <c r="B101" s="25" t="s">
        <v>36</v>
      </c>
      <c r="C101" s="25" t="s">
        <v>37</v>
      </c>
      <c r="D101" s="26" t="s">
        <v>38</v>
      </c>
      <c r="E101" s="26"/>
      <c r="F101" s="27">
        <v>188.7</v>
      </c>
      <c r="G101" s="33">
        <v>650000</v>
      </c>
      <c r="H101" s="69">
        <f t="shared" si="1"/>
        <v>122655000</v>
      </c>
      <c r="I101" s="23"/>
    </row>
    <row r="102" spans="1:9" s="1" customFormat="1" x14ac:dyDescent="0.2">
      <c r="A102" s="24" t="s">
        <v>783</v>
      </c>
      <c r="B102" s="25" t="s">
        <v>233</v>
      </c>
      <c r="C102" s="25" t="s">
        <v>234</v>
      </c>
      <c r="D102" s="26" t="s">
        <v>107</v>
      </c>
      <c r="E102" s="26"/>
      <c r="F102" s="27">
        <v>6.2965</v>
      </c>
      <c r="G102" s="33">
        <v>8009000</v>
      </c>
      <c r="H102" s="69">
        <f t="shared" si="1"/>
        <v>50428668.5</v>
      </c>
      <c r="I102" s="23"/>
    </row>
    <row r="103" spans="1:9" s="1" customFormat="1" x14ac:dyDescent="0.2">
      <c r="A103" s="24" t="s">
        <v>785</v>
      </c>
      <c r="B103" s="25" t="s">
        <v>198</v>
      </c>
      <c r="C103" s="25" t="s">
        <v>199</v>
      </c>
      <c r="D103" s="26" t="s">
        <v>107</v>
      </c>
      <c r="E103" s="26"/>
      <c r="F103" s="27">
        <v>3.9150000000000001E-3</v>
      </c>
      <c r="G103" s="33">
        <v>6500000</v>
      </c>
      <c r="H103" s="69">
        <f t="shared" si="1"/>
        <v>25447.5</v>
      </c>
      <c r="I103" s="23"/>
    </row>
    <row r="104" spans="1:9" s="1" customFormat="1" x14ac:dyDescent="0.2">
      <c r="A104" s="24" t="s">
        <v>787</v>
      </c>
      <c r="B104" s="25" t="s">
        <v>525</v>
      </c>
      <c r="C104" s="25" t="s">
        <v>526</v>
      </c>
      <c r="D104" s="26" t="s">
        <v>250</v>
      </c>
      <c r="E104" s="26"/>
      <c r="F104" s="27">
        <v>1318.05</v>
      </c>
      <c r="G104" s="33">
        <v>1150</v>
      </c>
      <c r="H104" s="69">
        <f t="shared" si="1"/>
        <v>1515757.5</v>
      </c>
      <c r="I104" s="23"/>
    </row>
    <row r="105" spans="1:9" s="1" customFormat="1" ht="24" x14ac:dyDescent="0.2">
      <c r="A105" s="24" t="s">
        <v>789</v>
      </c>
      <c r="B105" s="25" t="s">
        <v>741</v>
      </c>
      <c r="C105" s="25" t="s">
        <v>742</v>
      </c>
      <c r="D105" s="26" t="s">
        <v>42</v>
      </c>
      <c r="E105" s="26"/>
      <c r="F105" s="27">
        <v>37.631999999999998</v>
      </c>
      <c r="G105" s="33">
        <v>55000</v>
      </c>
      <c r="H105" s="69">
        <f t="shared" si="1"/>
        <v>2069760</v>
      </c>
      <c r="I105" s="23"/>
    </row>
    <row r="106" spans="1:9" s="1" customFormat="1" x14ac:dyDescent="0.2">
      <c r="A106" s="24" t="s">
        <v>810</v>
      </c>
      <c r="B106" s="25" t="s">
        <v>1231</v>
      </c>
      <c r="C106" s="25" t="s">
        <v>1232</v>
      </c>
      <c r="D106" s="26" t="s">
        <v>250</v>
      </c>
      <c r="E106" s="26"/>
      <c r="F106" s="27">
        <v>8.6999999999999994E-2</v>
      </c>
      <c r="G106" s="33">
        <v>15402</v>
      </c>
      <c r="H106" s="69">
        <f t="shared" si="1"/>
        <v>1339.9739999999999</v>
      </c>
      <c r="I106" s="23"/>
    </row>
    <row r="107" spans="1:9" s="1" customFormat="1" x14ac:dyDescent="0.2">
      <c r="A107" s="24" t="s">
        <v>822</v>
      </c>
      <c r="B107" s="25" t="s">
        <v>1234</v>
      </c>
      <c r="C107" s="25" t="s">
        <v>1235</v>
      </c>
      <c r="D107" s="26" t="s">
        <v>107</v>
      </c>
      <c r="E107" s="26"/>
      <c r="F107" s="27">
        <v>3.2000000000000002E-3</v>
      </c>
      <c r="G107" s="33">
        <v>18000000</v>
      </c>
      <c r="H107" s="69">
        <f t="shared" si="1"/>
        <v>57600</v>
      </c>
      <c r="I107" s="23"/>
    </row>
    <row r="108" spans="1:9" s="1" customFormat="1" ht="24" x14ac:dyDescent="0.2">
      <c r="A108" s="24" t="s">
        <v>824</v>
      </c>
      <c r="B108" s="25" t="s">
        <v>137</v>
      </c>
      <c r="C108" s="25" t="s">
        <v>138</v>
      </c>
      <c r="D108" s="26" t="s">
        <v>139</v>
      </c>
      <c r="E108" s="26"/>
      <c r="F108" s="34">
        <v>117</v>
      </c>
      <c r="G108" s="33">
        <v>95000</v>
      </c>
      <c r="H108" s="69">
        <f t="shared" si="1"/>
        <v>11115000</v>
      </c>
      <c r="I108" s="23"/>
    </row>
    <row r="109" spans="1:9" s="1" customFormat="1" x14ac:dyDescent="0.2">
      <c r="A109" s="24" t="s">
        <v>836</v>
      </c>
      <c r="B109" s="25" t="s">
        <v>911</v>
      </c>
      <c r="C109" s="25" t="s">
        <v>912</v>
      </c>
      <c r="D109" s="26" t="s">
        <v>107</v>
      </c>
      <c r="E109" s="26"/>
      <c r="F109" s="27">
        <v>6.5700000000000003E-3</v>
      </c>
      <c r="G109" s="33">
        <v>18482000</v>
      </c>
      <c r="H109" s="69">
        <f t="shared" si="1"/>
        <v>121426.74</v>
      </c>
      <c r="I109" s="23"/>
    </row>
    <row r="110" spans="1:9" s="1" customFormat="1" x14ac:dyDescent="0.2">
      <c r="A110" s="24" t="s">
        <v>843</v>
      </c>
      <c r="B110" s="25" t="s">
        <v>219</v>
      </c>
      <c r="C110" s="25" t="s">
        <v>220</v>
      </c>
      <c r="D110" s="26" t="s">
        <v>107</v>
      </c>
      <c r="E110" s="26"/>
      <c r="F110" s="27">
        <v>0.70537300000000003</v>
      </c>
      <c r="G110" s="33">
        <v>12000000</v>
      </c>
      <c r="H110" s="69">
        <f t="shared" si="1"/>
        <v>8464476</v>
      </c>
      <c r="I110" s="23"/>
    </row>
    <row r="111" spans="1:9" s="1" customFormat="1" x14ac:dyDescent="0.2">
      <c r="A111" s="24" t="s">
        <v>857</v>
      </c>
      <c r="B111" s="25" t="s">
        <v>1182</v>
      </c>
      <c r="C111" s="25" t="s">
        <v>1183</v>
      </c>
      <c r="D111" s="26" t="s">
        <v>107</v>
      </c>
      <c r="E111" s="26"/>
      <c r="F111" s="27">
        <v>4.4999999999999999E-4</v>
      </c>
      <c r="G111" s="33">
        <v>14286000</v>
      </c>
      <c r="H111" s="69">
        <f t="shared" si="1"/>
        <v>6428.7</v>
      </c>
      <c r="I111" s="23"/>
    </row>
    <row r="112" spans="1:9" s="1" customFormat="1" x14ac:dyDescent="0.2">
      <c r="A112" s="24" t="s">
        <v>865</v>
      </c>
      <c r="B112" s="25" t="s">
        <v>800</v>
      </c>
      <c r="C112" s="25" t="s">
        <v>801</v>
      </c>
      <c r="D112" s="26" t="s">
        <v>250</v>
      </c>
      <c r="E112" s="26"/>
      <c r="F112" s="27">
        <v>15.1782</v>
      </c>
      <c r="G112" s="33">
        <v>7500</v>
      </c>
      <c r="H112" s="69">
        <f t="shared" si="1"/>
        <v>113836.5</v>
      </c>
      <c r="I112" s="23"/>
    </row>
    <row r="113" spans="1:9" s="1" customFormat="1" x14ac:dyDescent="0.2">
      <c r="A113" s="24" t="s">
        <v>871</v>
      </c>
      <c r="B113" s="25" t="s">
        <v>201</v>
      </c>
      <c r="C113" s="25" t="s">
        <v>202</v>
      </c>
      <c r="D113" s="26" t="s">
        <v>107</v>
      </c>
      <c r="E113" s="26"/>
      <c r="F113" s="27">
        <v>0.51293500000000003</v>
      </c>
      <c r="G113" s="33">
        <v>1150000</v>
      </c>
      <c r="H113" s="69">
        <f t="shared" si="1"/>
        <v>589875.25</v>
      </c>
      <c r="I113" s="23"/>
    </row>
    <row r="114" spans="1:9" s="1" customFormat="1" x14ac:dyDescent="0.2">
      <c r="A114" s="24" t="s">
        <v>889</v>
      </c>
      <c r="B114" s="25" t="s">
        <v>265</v>
      </c>
      <c r="C114" s="25" t="s">
        <v>266</v>
      </c>
      <c r="D114" s="26" t="s">
        <v>107</v>
      </c>
      <c r="E114" s="26"/>
      <c r="F114" s="27">
        <v>2.9931000000000001</v>
      </c>
      <c r="G114" s="33">
        <v>1150000</v>
      </c>
      <c r="H114" s="69">
        <f t="shared" si="1"/>
        <v>3442065</v>
      </c>
      <c r="I114" s="23"/>
    </row>
    <row r="115" spans="1:9" s="1" customFormat="1" x14ac:dyDescent="0.2">
      <c r="A115" s="24" t="s">
        <v>902</v>
      </c>
      <c r="B115" s="25" t="s">
        <v>920</v>
      </c>
      <c r="C115" s="25" t="s">
        <v>921</v>
      </c>
      <c r="D115" s="26" t="s">
        <v>107</v>
      </c>
      <c r="E115" s="26"/>
      <c r="F115" s="27">
        <v>1.4702E-2</v>
      </c>
      <c r="G115" s="33">
        <v>27312000</v>
      </c>
      <c r="H115" s="69">
        <f t="shared" si="1"/>
        <v>401541.02399999998</v>
      </c>
      <c r="I115" s="23"/>
    </row>
    <row r="116" spans="1:9" s="1" customFormat="1" ht="24" x14ac:dyDescent="0.2">
      <c r="A116" s="24" t="s">
        <v>913</v>
      </c>
      <c r="B116" s="25" t="s">
        <v>1025</v>
      </c>
      <c r="C116" s="25" t="s">
        <v>1026</v>
      </c>
      <c r="D116" s="26" t="s">
        <v>38</v>
      </c>
      <c r="E116" s="26"/>
      <c r="F116" s="27">
        <v>28.0122</v>
      </c>
      <c r="G116" s="33">
        <v>3500</v>
      </c>
      <c r="H116" s="69">
        <f t="shared" si="1"/>
        <v>98042.7</v>
      </c>
      <c r="I116" s="23"/>
    </row>
    <row r="117" spans="1:9" s="1" customFormat="1" ht="24" x14ac:dyDescent="0.2">
      <c r="A117" s="24" t="s">
        <v>925</v>
      </c>
      <c r="B117" s="25" t="s">
        <v>479</v>
      </c>
      <c r="C117" s="25" t="s">
        <v>480</v>
      </c>
      <c r="D117" s="26" t="s">
        <v>38</v>
      </c>
      <c r="E117" s="26"/>
      <c r="F117" s="27">
        <v>690.43200000000002</v>
      </c>
      <c r="G117" s="33">
        <v>9000</v>
      </c>
      <c r="H117" s="69">
        <f t="shared" si="1"/>
        <v>6213888</v>
      </c>
      <c r="I117" s="23"/>
    </row>
    <row r="118" spans="1:9" s="1" customFormat="1" x14ac:dyDescent="0.2">
      <c r="A118" s="24" t="s">
        <v>943</v>
      </c>
      <c r="B118" s="25" t="s">
        <v>482</v>
      </c>
      <c r="C118" s="25" t="s">
        <v>483</v>
      </c>
      <c r="D118" s="26" t="s">
        <v>107</v>
      </c>
      <c r="E118" s="26"/>
      <c r="F118" s="27">
        <v>1.6754</v>
      </c>
      <c r="G118" s="33">
        <v>8929000</v>
      </c>
      <c r="H118" s="69">
        <f t="shared" si="1"/>
        <v>14959646.6</v>
      </c>
      <c r="I118" s="23"/>
    </row>
    <row r="119" spans="1:9" s="1" customFormat="1" ht="24" x14ac:dyDescent="0.2">
      <c r="A119" s="24" t="s">
        <v>952</v>
      </c>
      <c r="B119" s="25" t="s">
        <v>950</v>
      </c>
      <c r="C119" s="25" t="s">
        <v>951</v>
      </c>
      <c r="D119" s="26" t="s">
        <v>107</v>
      </c>
      <c r="E119" s="26"/>
      <c r="F119" s="27">
        <v>1.158E-3</v>
      </c>
      <c r="G119" s="33">
        <v>9500000</v>
      </c>
      <c r="H119" s="69">
        <f t="shared" si="1"/>
        <v>11001</v>
      </c>
      <c r="I119" s="23"/>
    </row>
    <row r="120" spans="1:9" s="1" customFormat="1" ht="24" x14ac:dyDescent="0.2">
      <c r="A120" s="24" t="s">
        <v>955</v>
      </c>
      <c r="B120" s="25" t="s">
        <v>1185</v>
      </c>
      <c r="C120" s="25" t="s">
        <v>1186</v>
      </c>
      <c r="D120" s="26" t="s">
        <v>107</v>
      </c>
      <c r="E120" s="26"/>
      <c r="F120" s="27">
        <v>2.3E-5</v>
      </c>
      <c r="G120" s="33">
        <v>7812501</v>
      </c>
      <c r="H120" s="69">
        <f t="shared" si="1"/>
        <v>179.687523</v>
      </c>
      <c r="I120" s="23"/>
    </row>
    <row r="121" spans="1:9" s="1" customFormat="1" x14ac:dyDescent="0.2">
      <c r="A121" s="24" t="s">
        <v>958</v>
      </c>
      <c r="B121" s="25" t="s">
        <v>441</v>
      </c>
      <c r="C121" s="25" t="s">
        <v>442</v>
      </c>
      <c r="D121" s="26" t="s">
        <v>107</v>
      </c>
      <c r="E121" s="26"/>
      <c r="F121" s="27">
        <v>0.104035</v>
      </c>
      <c r="G121" s="33">
        <v>9500000</v>
      </c>
      <c r="H121" s="69">
        <f t="shared" si="1"/>
        <v>988332.5</v>
      </c>
      <c r="I121" s="23"/>
    </row>
    <row r="122" spans="1:9" s="1" customFormat="1" x14ac:dyDescent="0.2">
      <c r="A122" s="24" t="s">
        <v>972</v>
      </c>
      <c r="B122" s="25" t="s">
        <v>1238</v>
      </c>
      <c r="C122" s="25" t="s">
        <v>1239</v>
      </c>
      <c r="D122" s="26" t="s">
        <v>107</v>
      </c>
      <c r="E122" s="26"/>
      <c r="F122" s="27">
        <v>1.2E-4</v>
      </c>
      <c r="G122" s="33">
        <v>9500000</v>
      </c>
      <c r="H122" s="69">
        <f t="shared" ref="H122:H185" si="2">+G122*F122</f>
        <v>1140</v>
      </c>
      <c r="I122" s="23"/>
    </row>
    <row r="123" spans="1:9" s="1" customFormat="1" x14ac:dyDescent="0.2">
      <c r="A123" s="24" t="s">
        <v>993</v>
      </c>
      <c r="B123" s="25" t="s">
        <v>1241</v>
      </c>
      <c r="C123" s="25" t="s">
        <v>1242</v>
      </c>
      <c r="D123" s="26" t="s">
        <v>1243</v>
      </c>
      <c r="E123" s="26"/>
      <c r="F123" s="27">
        <v>1.3</v>
      </c>
      <c r="G123" s="33">
        <v>5000</v>
      </c>
      <c r="H123" s="69">
        <f t="shared" si="2"/>
        <v>6500</v>
      </c>
      <c r="I123" s="23"/>
    </row>
    <row r="124" spans="1:9" s="1" customFormat="1" ht="24" x14ac:dyDescent="0.2">
      <c r="A124" s="24" t="s">
        <v>999</v>
      </c>
      <c r="B124" s="25" t="s">
        <v>158</v>
      </c>
      <c r="C124" s="25" t="s">
        <v>159</v>
      </c>
      <c r="D124" s="26" t="s">
        <v>107</v>
      </c>
      <c r="E124" s="26"/>
      <c r="F124" s="27">
        <v>3.395E-3</v>
      </c>
      <c r="G124" s="33">
        <v>14821500</v>
      </c>
      <c r="H124" s="69">
        <f t="shared" si="2"/>
        <v>50318.9925</v>
      </c>
      <c r="I124" s="23"/>
    </row>
    <row r="125" spans="1:9" s="1" customFormat="1" x14ac:dyDescent="0.2">
      <c r="A125" s="24" t="s">
        <v>1002</v>
      </c>
      <c r="B125" s="25" t="s">
        <v>1188</v>
      </c>
      <c r="C125" s="25" t="s">
        <v>1189</v>
      </c>
      <c r="D125" s="26" t="s">
        <v>107</v>
      </c>
      <c r="E125" s="26"/>
      <c r="F125" s="27">
        <v>1.456E-3</v>
      </c>
      <c r="G125" s="33">
        <v>10500000</v>
      </c>
      <c r="H125" s="69">
        <f t="shared" si="2"/>
        <v>15288</v>
      </c>
      <c r="I125" s="23"/>
    </row>
    <row r="126" spans="1:9" s="1" customFormat="1" x14ac:dyDescent="0.2">
      <c r="A126" s="24" t="s">
        <v>1007</v>
      </c>
      <c r="B126" s="25" t="s">
        <v>923</v>
      </c>
      <c r="C126" s="25" t="s">
        <v>924</v>
      </c>
      <c r="D126" s="26" t="s">
        <v>107</v>
      </c>
      <c r="E126" s="26"/>
      <c r="F126" s="27">
        <v>1.0059999999999999E-3</v>
      </c>
      <c r="G126" s="33">
        <v>30246000</v>
      </c>
      <c r="H126" s="69">
        <f t="shared" si="2"/>
        <v>30427.475999999999</v>
      </c>
      <c r="I126" s="23"/>
    </row>
    <row r="127" spans="1:9" s="1" customFormat="1" x14ac:dyDescent="0.2">
      <c r="A127" s="24" t="s">
        <v>1014</v>
      </c>
      <c r="B127" s="25" t="s">
        <v>690</v>
      </c>
      <c r="C127" s="25" t="s">
        <v>691</v>
      </c>
      <c r="D127" s="26" t="s">
        <v>420</v>
      </c>
      <c r="E127" s="26"/>
      <c r="F127" s="27">
        <v>3.0891000000000002</v>
      </c>
      <c r="G127" s="33">
        <v>4210</v>
      </c>
      <c r="H127" s="69">
        <f t="shared" si="2"/>
        <v>13005.111000000001</v>
      </c>
      <c r="I127" s="23"/>
    </row>
    <row r="128" spans="1:9" s="1" customFormat="1" x14ac:dyDescent="0.2">
      <c r="A128" s="24" t="s">
        <v>1027</v>
      </c>
      <c r="B128" s="25" t="s">
        <v>485</v>
      </c>
      <c r="C128" s="25" t="s">
        <v>486</v>
      </c>
      <c r="D128" s="26" t="s">
        <v>250</v>
      </c>
      <c r="E128" s="26"/>
      <c r="F128" s="27">
        <v>172.608</v>
      </c>
      <c r="G128" s="33">
        <v>2500</v>
      </c>
      <c r="H128" s="69">
        <f t="shared" si="2"/>
        <v>431520</v>
      </c>
      <c r="I128" s="23"/>
    </row>
    <row r="129" spans="1:9" s="1" customFormat="1" x14ac:dyDescent="0.2">
      <c r="A129" s="24" t="s">
        <v>1034</v>
      </c>
      <c r="B129" s="25" t="s">
        <v>1245</v>
      </c>
      <c r="C129" s="25" t="s">
        <v>1246</v>
      </c>
      <c r="D129" s="26" t="s">
        <v>250</v>
      </c>
      <c r="E129" s="26"/>
      <c r="F129" s="27">
        <v>3.6499999999999998E-2</v>
      </c>
      <c r="G129" s="33">
        <v>5000</v>
      </c>
      <c r="H129" s="69">
        <f t="shared" si="2"/>
        <v>182.5</v>
      </c>
      <c r="I129" s="23"/>
    </row>
    <row r="130" spans="1:9" s="1" customFormat="1" ht="36" x14ac:dyDescent="0.2">
      <c r="A130" s="24" t="s">
        <v>1037</v>
      </c>
      <c r="B130" s="25" t="s">
        <v>851</v>
      </c>
      <c r="C130" s="25" t="s">
        <v>852</v>
      </c>
      <c r="D130" s="26" t="s">
        <v>107</v>
      </c>
      <c r="E130" s="26"/>
      <c r="F130" s="27">
        <v>4.4103999999999997E-2</v>
      </c>
      <c r="G130" s="33">
        <v>523444</v>
      </c>
      <c r="H130" s="69">
        <f t="shared" si="2"/>
        <v>23085.974176</v>
      </c>
      <c r="I130" s="23"/>
    </row>
    <row r="131" spans="1:9" s="1" customFormat="1" ht="36" x14ac:dyDescent="0.2">
      <c r="A131" s="24" t="s">
        <v>1042</v>
      </c>
      <c r="B131" s="25" t="s">
        <v>817</v>
      </c>
      <c r="C131" s="25" t="s">
        <v>818</v>
      </c>
      <c r="D131" s="26" t="s">
        <v>107</v>
      </c>
      <c r="E131" s="26"/>
      <c r="F131" s="27">
        <v>0.25391999999999998</v>
      </c>
      <c r="G131" s="33">
        <v>523444</v>
      </c>
      <c r="H131" s="69">
        <f t="shared" si="2"/>
        <v>132912.90047999998</v>
      </c>
      <c r="I131" s="23"/>
    </row>
    <row r="132" spans="1:9" s="1" customFormat="1" x14ac:dyDescent="0.2">
      <c r="A132" s="24" t="s">
        <v>1045</v>
      </c>
      <c r="B132" s="25" t="s">
        <v>1248</v>
      </c>
      <c r="C132" s="25" t="s">
        <v>1249</v>
      </c>
      <c r="D132" s="26" t="s">
        <v>107</v>
      </c>
      <c r="E132" s="26"/>
      <c r="F132" s="27">
        <v>3.6999999999999999E-4</v>
      </c>
      <c r="G132" s="33">
        <v>16072000</v>
      </c>
      <c r="H132" s="69">
        <f t="shared" si="2"/>
        <v>5946.64</v>
      </c>
      <c r="I132" s="23"/>
    </row>
    <row r="133" spans="1:9" s="1" customFormat="1" x14ac:dyDescent="0.2">
      <c r="A133" s="24" t="s">
        <v>1054</v>
      </c>
      <c r="B133" s="25" t="s">
        <v>693</v>
      </c>
      <c r="C133" s="25" t="s">
        <v>694</v>
      </c>
      <c r="D133" s="26" t="s">
        <v>107</v>
      </c>
      <c r="E133" s="26"/>
      <c r="F133" s="27">
        <v>1.0973999999999999E-2</v>
      </c>
      <c r="G133" s="33">
        <v>11250000</v>
      </c>
      <c r="H133" s="69">
        <f t="shared" si="2"/>
        <v>123457.5</v>
      </c>
      <c r="I133" s="23"/>
    </row>
    <row r="134" spans="1:9" s="1" customFormat="1" x14ac:dyDescent="0.2">
      <c r="A134" s="24" t="s">
        <v>1061</v>
      </c>
      <c r="B134" s="25" t="s">
        <v>105</v>
      </c>
      <c r="C134" s="25" t="s">
        <v>106</v>
      </c>
      <c r="D134" s="26" t="s">
        <v>107</v>
      </c>
      <c r="E134" s="26"/>
      <c r="F134" s="27">
        <v>8.5650000000000004E-2</v>
      </c>
      <c r="G134" s="33">
        <v>11250000</v>
      </c>
      <c r="H134" s="69">
        <f t="shared" si="2"/>
        <v>963562.5</v>
      </c>
      <c r="I134" s="23"/>
    </row>
    <row r="135" spans="1:9" s="1" customFormat="1" x14ac:dyDescent="0.2">
      <c r="A135" s="24" t="s">
        <v>262</v>
      </c>
      <c r="B135" s="25" t="s">
        <v>1251</v>
      </c>
      <c r="C135" s="25" t="s">
        <v>1252</v>
      </c>
      <c r="D135" s="26" t="s">
        <v>107</v>
      </c>
      <c r="E135" s="26"/>
      <c r="F135" s="27">
        <v>2.5999999999999999E-2</v>
      </c>
      <c r="G135" s="33">
        <v>11250000</v>
      </c>
      <c r="H135" s="69">
        <f t="shared" si="2"/>
        <v>292500</v>
      </c>
      <c r="I135" s="23"/>
    </row>
    <row r="136" spans="1:9" s="1" customFormat="1" x14ac:dyDescent="0.2">
      <c r="A136" s="24" t="s">
        <v>1074</v>
      </c>
      <c r="B136" s="25" t="s">
        <v>820</v>
      </c>
      <c r="C136" s="25" t="s">
        <v>821</v>
      </c>
      <c r="D136" s="26" t="s">
        <v>107</v>
      </c>
      <c r="E136" s="26"/>
      <c r="F136" s="27">
        <v>2.3675999999999999E-2</v>
      </c>
      <c r="G136" s="33">
        <v>11250000</v>
      </c>
      <c r="H136" s="69">
        <f t="shared" si="2"/>
        <v>266355</v>
      </c>
      <c r="I136" s="23"/>
    </row>
    <row r="137" spans="1:9" s="1" customFormat="1" x14ac:dyDescent="0.2">
      <c r="A137" s="24" t="s">
        <v>1085</v>
      </c>
      <c r="B137" s="25" t="s">
        <v>662</v>
      </c>
      <c r="C137" s="25" t="s">
        <v>663</v>
      </c>
      <c r="D137" s="26" t="s">
        <v>42</v>
      </c>
      <c r="E137" s="26"/>
      <c r="F137" s="27">
        <v>4914.8388000000004</v>
      </c>
      <c r="G137" s="33">
        <v>100</v>
      </c>
      <c r="H137" s="69">
        <f t="shared" si="2"/>
        <v>491483.88000000006</v>
      </c>
      <c r="I137" s="23"/>
    </row>
    <row r="138" spans="1:9" s="1" customFormat="1" ht="24" x14ac:dyDescent="0.2">
      <c r="A138" s="24" t="s">
        <v>1087</v>
      </c>
      <c r="B138" s="25" t="s">
        <v>204</v>
      </c>
      <c r="C138" s="25" t="s">
        <v>205</v>
      </c>
      <c r="D138" s="26" t="s">
        <v>38</v>
      </c>
      <c r="E138" s="26"/>
      <c r="F138" s="27">
        <v>88.288700000000006</v>
      </c>
      <c r="G138" s="33">
        <v>15000</v>
      </c>
      <c r="H138" s="69">
        <f t="shared" si="2"/>
        <v>1324330.5</v>
      </c>
      <c r="I138" s="23"/>
    </row>
    <row r="139" spans="1:9" s="1" customFormat="1" ht="36" x14ac:dyDescent="0.2">
      <c r="A139" s="24" t="s">
        <v>1089</v>
      </c>
      <c r="B139" s="25" t="s">
        <v>1193</v>
      </c>
      <c r="C139" s="25" t="s">
        <v>1194</v>
      </c>
      <c r="D139" s="26" t="s">
        <v>420</v>
      </c>
      <c r="E139" s="26"/>
      <c r="F139" s="27">
        <v>3.7500000000000001E-4</v>
      </c>
      <c r="G139" s="33">
        <v>4107143</v>
      </c>
      <c r="H139" s="69">
        <f t="shared" si="2"/>
        <v>1540.178625</v>
      </c>
      <c r="I139" s="23"/>
    </row>
    <row r="140" spans="1:9" s="1" customFormat="1" ht="36" x14ac:dyDescent="0.2">
      <c r="A140" s="24" t="s">
        <v>1091</v>
      </c>
      <c r="B140" s="25" t="s">
        <v>632</v>
      </c>
      <c r="C140" s="25" t="s">
        <v>633</v>
      </c>
      <c r="D140" s="26" t="s">
        <v>420</v>
      </c>
      <c r="E140" s="26"/>
      <c r="F140" s="27">
        <v>2.1849E-2</v>
      </c>
      <c r="G140" s="33">
        <v>4107143</v>
      </c>
      <c r="H140" s="69">
        <f t="shared" si="2"/>
        <v>89736.967407000004</v>
      </c>
      <c r="I140" s="23"/>
    </row>
    <row r="141" spans="1:9" s="1" customFormat="1" x14ac:dyDescent="0.2">
      <c r="A141" s="24" t="s">
        <v>1094</v>
      </c>
      <c r="B141" s="25" t="s">
        <v>1254</v>
      </c>
      <c r="C141" s="25" t="s">
        <v>1255</v>
      </c>
      <c r="D141" s="26" t="s">
        <v>107</v>
      </c>
      <c r="E141" s="26"/>
      <c r="F141" s="27">
        <v>3.0000000000000001E-3</v>
      </c>
      <c r="G141" s="33">
        <v>8714745</v>
      </c>
      <c r="H141" s="69">
        <f t="shared" si="2"/>
        <v>26144.235000000001</v>
      </c>
      <c r="I141" s="23"/>
    </row>
    <row r="142" spans="1:9" s="1" customFormat="1" x14ac:dyDescent="0.2">
      <c r="A142" s="24" t="s">
        <v>1097</v>
      </c>
      <c r="B142" s="25" t="s">
        <v>990</v>
      </c>
      <c r="C142" s="25" t="s">
        <v>991</v>
      </c>
      <c r="D142" s="26" t="s">
        <v>107</v>
      </c>
      <c r="E142" s="26"/>
      <c r="F142" s="27">
        <v>8.4910000000000003E-3</v>
      </c>
      <c r="G142" s="33">
        <v>9500000</v>
      </c>
      <c r="H142" s="69">
        <f t="shared" si="2"/>
        <v>80664.5</v>
      </c>
      <c r="I142" s="23"/>
    </row>
    <row r="143" spans="1:9" s="1" customFormat="1" x14ac:dyDescent="0.2">
      <c r="A143" s="24" t="s">
        <v>1102</v>
      </c>
      <c r="B143" s="25" t="s">
        <v>1257</v>
      </c>
      <c r="C143" s="25" t="s">
        <v>1258</v>
      </c>
      <c r="D143" s="26" t="s">
        <v>250</v>
      </c>
      <c r="E143" s="26"/>
      <c r="F143" s="27">
        <v>0.16</v>
      </c>
      <c r="G143" s="33">
        <v>5000</v>
      </c>
      <c r="H143" s="69">
        <f t="shared" si="2"/>
        <v>800</v>
      </c>
      <c r="I143" s="23"/>
    </row>
    <row r="144" spans="1:9" s="1" customFormat="1" x14ac:dyDescent="0.2">
      <c r="A144" s="24" t="s">
        <v>1109</v>
      </c>
      <c r="B144" s="25" t="s">
        <v>1260</v>
      </c>
      <c r="C144" s="25" t="s">
        <v>1261</v>
      </c>
      <c r="D144" s="26" t="s">
        <v>42</v>
      </c>
      <c r="E144" s="26"/>
      <c r="F144" s="34">
        <v>35</v>
      </c>
      <c r="G144" s="33">
        <v>1250</v>
      </c>
      <c r="H144" s="69">
        <f t="shared" si="2"/>
        <v>43750</v>
      </c>
      <c r="I144" s="23"/>
    </row>
    <row r="145" spans="1:9" s="1" customFormat="1" x14ac:dyDescent="0.2">
      <c r="A145" s="24" t="s">
        <v>1116</v>
      </c>
      <c r="B145" s="25" t="s">
        <v>1263</v>
      </c>
      <c r="C145" s="25" t="s">
        <v>1264</v>
      </c>
      <c r="D145" s="26" t="s">
        <v>69</v>
      </c>
      <c r="E145" s="26"/>
      <c r="F145" s="34">
        <v>63</v>
      </c>
      <c r="G145" s="33">
        <v>11696</v>
      </c>
      <c r="H145" s="69">
        <f t="shared" si="2"/>
        <v>736848</v>
      </c>
      <c r="I145" s="23"/>
    </row>
    <row r="146" spans="1:9" s="1" customFormat="1" ht="24" x14ac:dyDescent="0.2">
      <c r="A146" s="24" t="s">
        <v>1121</v>
      </c>
      <c r="B146" s="25" t="s">
        <v>706</v>
      </c>
      <c r="C146" s="25" t="s">
        <v>707</v>
      </c>
      <c r="D146" s="26" t="s">
        <v>107</v>
      </c>
      <c r="E146" s="26"/>
      <c r="F146" s="27">
        <v>6.6350000000000003E-3</v>
      </c>
      <c r="G146" s="33">
        <v>27312000</v>
      </c>
      <c r="H146" s="69">
        <f t="shared" si="2"/>
        <v>181215.12</v>
      </c>
      <c r="I146" s="23"/>
    </row>
    <row r="147" spans="1:9" s="1" customFormat="1" ht="24" x14ac:dyDescent="0.2">
      <c r="A147" s="24" t="s">
        <v>1122</v>
      </c>
      <c r="B147" s="25" t="s">
        <v>78</v>
      </c>
      <c r="C147" s="25" t="s">
        <v>79</v>
      </c>
      <c r="D147" s="26" t="s">
        <v>38</v>
      </c>
      <c r="E147" s="26"/>
      <c r="F147" s="27">
        <v>120.96</v>
      </c>
      <c r="G147" s="33">
        <v>650000</v>
      </c>
      <c r="H147" s="69">
        <f t="shared" si="2"/>
        <v>78624000</v>
      </c>
      <c r="I147" s="23"/>
    </row>
    <row r="148" spans="1:9" s="1" customFormat="1" x14ac:dyDescent="0.2">
      <c r="A148" s="24" t="s">
        <v>1125</v>
      </c>
      <c r="B148" s="25" t="s">
        <v>109</v>
      </c>
      <c r="C148" s="25" t="s">
        <v>110</v>
      </c>
      <c r="D148" s="26" t="s">
        <v>107</v>
      </c>
      <c r="E148" s="26"/>
      <c r="F148" s="27">
        <v>0.18842999999999999</v>
      </c>
      <c r="G148" s="33">
        <v>9000000</v>
      </c>
      <c r="H148" s="69">
        <f t="shared" si="2"/>
        <v>1695869.9999999998</v>
      </c>
      <c r="I148" s="23"/>
    </row>
    <row r="149" spans="1:9" s="1" customFormat="1" x14ac:dyDescent="0.2">
      <c r="A149" s="24" t="s">
        <v>1132</v>
      </c>
      <c r="B149" s="25" t="s">
        <v>109</v>
      </c>
      <c r="C149" s="25" t="s">
        <v>110</v>
      </c>
      <c r="D149" s="26" t="s">
        <v>107</v>
      </c>
      <c r="E149" s="26"/>
      <c r="F149" s="27">
        <v>7.2119999999999997E-3</v>
      </c>
      <c r="G149" s="33">
        <v>9000000</v>
      </c>
      <c r="H149" s="69">
        <f t="shared" si="2"/>
        <v>64908</v>
      </c>
      <c r="I149" s="23"/>
    </row>
    <row r="150" spans="1:9" s="1" customFormat="1" x14ac:dyDescent="0.2">
      <c r="A150" s="24" t="s">
        <v>1138</v>
      </c>
      <c r="B150" s="25" t="s">
        <v>127</v>
      </c>
      <c r="C150" s="25" t="s">
        <v>128</v>
      </c>
      <c r="D150" s="26" t="s">
        <v>69</v>
      </c>
      <c r="E150" s="26"/>
      <c r="F150" s="27">
        <v>1357.3979999999999</v>
      </c>
      <c r="G150" s="33">
        <v>14000</v>
      </c>
      <c r="H150" s="69">
        <f t="shared" si="2"/>
        <v>19003572</v>
      </c>
      <c r="I150" s="23"/>
    </row>
    <row r="151" spans="1:9" s="1" customFormat="1" x14ac:dyDescent="0.2">
      <c r="A151" s="24" t="s">
        <v>1150</v>
      </c>
      <c r="B151" s="25" t="s">
        <v>665</v>
      </c>
      <c r="C151" s="25" t="s">
        <v>666</v>
      </c>
      <c r="D151" s="26" t="s">
        <v>69</v>
      </c>
      <c r="E151" s="26"/>
      <c r="F151" s="27">
        <v>1887.4476</v>
      </c>
      <c r="G151" s="33">
        <v>5000</v>
      </c>
      <c r="H151" s="69">
        <f t="shared" si="2"/>
        <v>9437238</v>
      </c>
      <c r="I151" s="23"/>
    </row>
    <row r="152" spans="1:9" s="1" customFormat="1" x14ac:dyDescent="0.2">
      <c r="A152" s="24" t="s">
        <v>1159</v>
      </c>
      <c r="B152" s="25" t="s">
        <v>268</v>
      </c>
      <c r="C152" s="25" t="s">
        <v>269</v>
      </c>
      <c r="D152" s="26" t="s">
        <v>38</v>
      </c>
      <c r="E152" s="26"/>
      <c r="F152" s="27">
        <v>798.15</v>
      </c>
      <c r="G152" s="33">
        <v>48000</v>
      </c>
      <c r="H152" s="69">
        <f t="shared" si="2"/>
        <v>38311200</v>
      </c>
      <c r="I152" s="23"/>
    </row>
    <row r="153" spans="1:9" s="1" customFormat="1" x14ac:dyDescent="0.2">
      <c r="A153" s="24" t="s">
        <v>1170</v>
      </c>
      <c r="B153" s="25" t="s">
        <v>885</v>
      </c>
      <c r="C153" s="25" t="s">
        <v>886</v>
      </c>
      <c r="D153" s="26" t="s">
        <v>42</v>
      </c>
      <c r="E153" s="26"/>
      <c r="F153" s="27">
        <v>8.8669999999999999E-3</v>
      </c>
      <c r="G153" s="33">
        <v>15000</v>
      </c>
      <c r="H153" s="69">
        <f t="shared" si="2"/>
        <v>133.005</v>
      </c>
      <c r="I153" s="23"/>
    </row>
    <row r="154" spans="1:9" s="1" customFormat="1" x14ac:dyDescent="0.2">
      <c r="A154" s="24" t="s">
        <v>1199</v>
      </c>
      <c r="B154" s="25" t="s">
        <v>271</v>
      </c>
      <c r="C154" s="25" t="s">
        <v>272</v>
      </c>
      <c r="D154" s="26" t="s">
        <v>107</v>
      </c>
      <c r="E154" s="26"/>
      <c r="F154" s="27">
        <v>0.39907500000000001</v>
      </c>
      <c r="G154" s="33">
        <v>1150000</v>
      </c>
      <c r="H154" s="69">
        <f t="shared" si="2"/>
        <v>458936.25</v>
      </c>
      <c r="I154" s="23"/>
    </row>
    <row r="155" spans="1:9" s="1" customFormat="1" x14ac:dyDescent="0.2">
      <c r="A155" s="24" t="s">
        <v>1204</v>
      </c>
      <c r="B155" s="25" t="s">
        <v>696</v>
      </c>
      <c r="C155" s="25" t="s">
        <v>486</v>
      </c>
      <c r="D155" s="26" t="s">
        <v>250</v>
      </c>
      <c r="E155" s="26"/>
      <c r="F155" s="27">
        <v>29.3672</v>
      </c>
      <c r="G155" s="33">
        <v>2500</v>
      </c>
      <c r="H155" s="69">
        <f t="shared" si="2"/>
        <v>73418</v>
      </c>
      <c r="I155" s="23"/>
    </row>
    <row r="156" spans="1:9" s="1" customFormat="1" x14ac:dyDescent="0.2">
      <c r="A156" s="24" t="s">
        <v>1020</v>
      </c>
      <c r="B156" s="25" t="s">
        <v>804</v>
      </c>
      <c r="C156" s="25" t="s">
        <v>805</v>
      </c>
      <c r="D156" s="26" t="s">
        <v>42</v>
      </c>
      <c r="E156" s="26"/>
      <c r="F156" s="27">
        <v>3.0356000000000001</v>
      </c>
      <c r="G156" s="33">
        <v>5000</v>
      </c>
      <c r="H156" s="69">
        <f t="shared" si="2"/>
        <v>15178</v>
      </c>
      <c r="I156" s="23"/>
    </row>
    <row r="157" spans="1:9" s="1" customFormat="1" ht="48" x14ac:dyDescent="0.2">
      <c r="A157" s="24" t="s">
        <v>1274</v>
      </c>
      <c r="B157" s="25" t="s">
        <v>1052</v>
      </c>
      <c r="C157" s="25" t="s">
        <v>1053</v>
      </c>
      <c r="D157" s="26" t="s">
        <v>38</v>
      </c>
      <c r="E157" s="26"/>
      <c r="F157" s="27">
        <v>327.14749999999998</v>
      </c>
      <c r="G157" s="33">
        <v>12000</v>
      </c>
      <c r="H157" s="69">
        <f t="shared" si="2"/>
        <v>3925769.9999999995</v>
      </c>
      <c r="I157" s="23"/>
    </row>
    <row r="158" spans="1:9" s="1" customFormat="1" x14ac:dyDescent="0.2">
      <c r="A158" s="24" t="s">
        <v>1299</v>
      </c>
      <c r="B158" s="25" t="s">
        <v>830</v>
      </c>
      <c r="C158" s="25" t="s">
        <v>831</v>
      </c>
      <c r="D158" s="26" t="s">
        <v>250</v>
      </c>
      <c r="E158" s="26"/>
      <c r="F158" s="27">
        <v>1.3212999999999999</v>
      </c>
      <c r="G158" s="33">
        <v>28000</v>
      </c>
      <c r="H158" s="69">
        <f t="shared" si="2"/>
        <v>36996.399999999994</v>
      </c>
      <c r="I158" s="23"/>
    </row>
    <row r="159" spans="1:9" s="1" customFormat="1" ht="36" x14ac:dyDescent="0.2">
      <c r="A159" s="24" t="s">
        <v>1303</v>
      </c>
      <c r="B159" s="25" t="s">
        <v>1197</v>
      </c>
      <c r="C159" s="25" t="s">
        <v>1198</v>
      </c>
      <c r="D159" s="26" t="s">
        <v>107</v>
      </c>
      <c r="E159" s="26"/>
      <c r="F159" s="27">
        <v>0.75039999999999996</v>
      </c>
      <c r="G159" s="33">
        <v>9000000</v>
      </c>
      <c r="H159" s="69">
        <f t="shared" si="2"/>
        <v>6753600</v>
      </c>
      <c r="I159" s="23"/>
    </row>
    <row r="160" spans="1:9" s="1" customFormat="1" x14ac:dyDescent="0.2">
      <c r="A160" s="24" t="s">
        <v>1309</v>
      </c>
      <c r="B160" s="25" t="s">
        <v>698</v>
      </c>
      <c r="C160" s="25" t="s">
        <v>699</v>
      </c>
      <c r="D160" s="26" t="s">
        <v>107</v>
      </c>
      <c r="E160" s="26"/>
      <c r="F160" s="27">
        <v>1.1780999999999999</v>
      </c>
      <c r="G160" s="33">
        <v>9000000</v>
      </c>
      <c r="H160" s="69">
        <f t="shared" si="2"/>
        <v>10602900</v>
      </c>
      <c r="I160" s="23"/>
    </row>
    <row r="161" spans="1:9" s="1" customFormat="1" x14ac:dyDescent="0.2">
      <c r="A161" s="24" t="s">
        <v>1310</v>
      </c>
      <c r="B161" s="25" t="s">
        <v>744</v>
      </c>
      <c r="C161" s="25" t="s">
        <v>745</v>
      </c>
      <c r="D161" s="26" t="s">
        <v>250</v>
      </c>
      <c r="E161" s="26"/>
      <c r="F161" s="27">
        <v>0.1152</v>
      </c>
      <c r="G161" s="33">
        <v>9500</v>
      </c>
      <c r="H161" s="69">
        <f t="shared" si="2"/>
        <v>1094.3999999999999</v>
      </c>
      <c r="I161" s="23"/>
    </row>
    <row r="162" spans="1:9" s="1" customFormat="1" x14ac:dyDescent="0.2">
      <c r="A162" s="24" t="s">
        <v>1311</v>
      </c>
      <c r="B162" s="25" t="s">
        <v>747</v>
      </c>
      <c r="C162" s="25" t="s">
        <v>748</v>
      </c>
      <c r="D162" s="26" t="s">
        <v>250</v>
      </c>
      <c r="E162" s="26"/>
      <c r="F162" s="27">
        <v>244.03200000000001</v>
      </c>
      <c r="G162" s="33">
        <v>12000</v>
      </c>
      <c r="H162" s="69">
        <f t="shared" si="2"/>
        <v>2928384</v>
      </c>
      <c r="I162" s="23"/>
    </row>
    <row r="163" spans="1:9" s="1" customFormat="1" x14ac:dyDescent="0.2">
      <c r="A163" s="24" t="s">
        <v>1312</v>
      </c>
      <c r="B163" s="25" t="s">
        <v>750</v>
      </c>
      <c r="C163" s="25" t="s">
        <v>751</v>
      </c>
      <c r="D163" s="26" t="s">
        <v>250</v>
      </c>
      <c r="E163" s="26"/>
      <c r="F163" s="27">
        <v>488.06400000000002</v>
      </c>
      <c r="G163" s="33">
        <v>12000</v>
      </c>
      <c r="H163" s="69">
        <f t="shared" si="2"/>
        <v>5856768</v>
      </c>
      <c r="I163" s="23"/>
    </row>
    <row r="164" spans="1:9" s="1" customFormat="1" x14ac:dyDescent="0.2">
      <c r="A164" s="24" t="s">
        <v>1313</v>
      </c>
      <c r="B164" s="25" t="s">
        <v>753</v>
      </c>
      <c r="C164" s="25" t="s">
        <v>754</v>
      </c>
      <c r="D164" s="26" t="s">
        <v>69</v>
      </c>
      <c r="E164" s="26"/>
      <c r="F164" s="34">
        <v>864</v>
      </c>
      <c r="G164" s="33">
        <v>500</v>
      </c>
      <c r="H164" s="69">
        <f t="shared" si="2"/>
        <v>432000</v>
      </c>
      <c r="I164" s="23"/>
    </row>
    <row r="165" spans="1:9" s="1" customFormat="1" x14ac:dyDescent="0.2">
      <c r="A165" s="24" t="s">
        <v>1314</v>
      </c>
      <c r="B165" s="25" t="s">
        <v>756</v>
      </c>
      <c r="C165" s="25" t="s">
        <v>757</v>
      </c>
      <c r="D165" s="26" t="s">
        <v>38</v>
      </c>
      <c r="E165" s="26"/>
      <c r="F165" s="27">
        <v>2587.1999999999998</v>
      </c>
      <c r="G165" s="33">
        <v>4018</v>
      </c>
      <c r="H165" s="69">
        <f t="shared" si="2"/>
        <v>10395369.6</v>
      </c>
      <c r="I165" s="23"/>
    </row>
    <row r="166" spans="1:9" s="1" customFormat="1" ht="24" x14ac:dyDescent="0.2">
      <c r="A166" s="24" t="s">
        <v>1315</v>
      </c>
      <c r="B166" s="25" t="s">
        <v>759</v>
      </c>
      <c r="C166" s="25" t="s">
        <v>760</v>
      </c>
      <c r="D166" s="26" t="s">
        <v>761</v>
      </c>
      <c r="E166" s="26"/>
      <c r="F166" s="34">
        <v>2304</v>
      </c>
      <c r="G166" s="33">
        <v>2000</v>
      </c>
      <c r="H166" s="69">
        <f t="shared" si="2"/>
        <v>4608000</v>
      </c>
      <c r="I166" s="23"/>
    </row>
    <row r="167" spans="1:9" s="1" customFormat="1" x14ac:dyDescent="0.2">
      <c r="A167" s="24" t="s">
        <v>1316</v>
      </c>
      <c r="B167" s="25" t="s">
        <v>763</v>
      </c>
      <c r="C167" s="25" t="s">
        <v>764</v>
      </c>
      <c r="D167" s="26" t="s">
        <v>42</v>
      </c>
      <c r="E167" s="26"/>
      <c r="F167" s="27">
        <v>6.9119999999999999</v>
      </c>
      <c r="G167" s="33">
        <v>5000</v>
      </c>
      <c r="H167" s="69">
        <f t="shared" si="2"/>
        <v>34560</v>
      </c>
      <c r="I167" s="23"/>
    </row>
    <row r="168" spans="1:9" s="1" customFormat="1" ht="24" x14ac:dyDescent="0.2">
      <c r="A168" s="24" t="s">
        <v>1317</v>
      </c>
      <c r="B168" s="25" t="s">
        <v>766</v>
      </c>
      <c r="C168" s="25" t="s">
        <v>767</v>
      </c>
      <c r="D168" s="26" t="s">
        <v>107</v>
      </c>
      <c r="E168" s="26"/>
      <c r="F168" s="27">
        <v>7.6799999999999993E-2</v>
      </c>
      <c r="G168" s="33">
        <v>12741071</v>
      </c>
      <c r="H168" s="69">
        <f t="shared" si="2"/>
        <v>978514.2527999999</v>
      </c>
      <c r="I168" s="23"/>
    </row>
    <row r="169" spans="1:9" s="1" customFormat="1" ht="24" x14ac:dyDescent="0.2">
      <c r="A169" s="24" t="s">
        <v>1318</v>
      </c>
      <c r="B169" s="25" t="s">
        <v>769</v>
      </c>
      <c r="C169" s="25" t="s">
        <v>770</v>
      </c>
      <c r="D169" s="26" t="s">
        <v>250</v>
      </c>
      <c r="E169" s="26"/>
      <c r="F169" s="27">
        <v>1597.44</v>
      </c>
      <c r="G169" s="33">
        <v>1150</v>
      </c>
      <c r="H169" s="69">
        <f t="shared" si="2"/>
        <v>1837056</v>
      </c>
      <c r="I169" s="23"/>
    </row>
    <row r="170" spans="1:9" s="1" customFormat="1" ht="24" x14ac:dyDescent="0.2">
      <c r="A170" s="24" t="s">
        <v>1319</v>
      </c>
      <c r="B170" s="25" t="s">
        <v>772</v>
      </c>
      <c r="C170" s="25" t="s">
        <v>773</v>
      </c>
      <c r="D170" s="26" t="s">
        <v>250</v>
      </c>
      <c r="E170" s="26"/>
      <c r="F170" s="34">
        <v>1152</v>
      </c>
      <c r="G170" s="33">
        <v>1150</v>
      </c>
      <c r="H170" s="69">
        <f t="shared" si="2"/>
        <v>1324800</v>
      </c>
      <c r="I170" s="23"/>
    </row>
    <row r="171" spans="1:9" s="1" customFormat="1" x14ac:dyDescent="0.2">
      <c r="A171" s="24" t="s">
        <v>1320</v>
      </c>
      <c r="B171" s="25" t="s">
        <v>775</v>
      </c>
      <c r="C171" s="25" t="s">
        <v>776</v>
      </c>
      <c r="D171" s="26" t="s">
        <v>69</v>
      </c>
      <c r="E171" s="26"/>
      <c r="F171" s="27">
        <v>62.591999999999999</v>
      </c>
      <c r="G171" s="33">
        <v>5000</v>
      </c>
      <c r="H171" s="69">
        <f t="shared" si="2"/>
        <v>312960</v>
      </c>
      <c r="I171" s="23"/>
    </row>
    <row r="172" spans="1:9" s="1" customFormat="1" x14ac:dyDescent="0.2">
      <c r="A172" s="24" t="s">
        <v>1321</v>
      </c>
      <c r="B172" s="25" t="s">
        <v>778</v>
      </c>
      <c r="C172" s="25" t="s">
        <v>779</v>
      </c>
      <c r="D172" s="26" t="s">
        <v>69</v>
      </c>
      <c r="E172" s="26"/>
      <c r="F172" s="27">
        <v>115.2</v>
      </c>
      <c r="G172" s="33">
        <v>5000</v>
      </c>
      <c r="H172" s="69">
        <f t="shared" si="2"/>
        <v>576000</v>
      </c>
      <c r="I172" s="23"/>
    </row>
    <row r="173" spans="1:9" s="1" customFormat="1" x14ac:dyDescent="0.2">
      <c r="A173" s="24" t="s">
        <v>1322</v>
      </c>
      <c r="B173" s="25" t="s">
        <v>528</v>
      </c>
      <c r="C173" s="25" t="s">
        <v>529</v>
      </c>
      <c r="D173" s="26" t="s">
        <v>107</v>
      </c>
      <c r="E173" s="26"/>
      <c r="F173" s="27">
        <v>0.14645</v>
      </c>
      <c r="G173" s="33">
        <v>1150000</v>
      </c>
      <c r="H173" s="69">
        <f t="shared" si="2"/>
        <v>168417.5</v>
      </c>
      <c r="I173" s="23"/>
    </row>
    <row r="174" spans="1:9" s="1" customFormat="1" x14ac:dyDescent="0.2">
      <c r="A174" s="24" t="s">
        <v>1323</v>
      </c>
      <c r="B174" s="25" t="s">
        <v>854</v>
      </c>
      <c r="C174" s="25" t="s">
        <v>855</v>
      </c>
      <c r="D174" s="26" t="s">
        <v>38</v>
      </c>
      <c r="E174" s="26"/>
      <c r="F174" s="27">
        <v>110.26</v>
      </c>
      <c r="G174" s="33">
        <v>63000</v>
      </c>
      <c r="H174" s="69">
        <f t="shared" si="2"/>
        <v>6946380</v>
      </c>
      <c r="I174" s="23"/>
    </row>
    <row r="175" spans="1:9" s="1" customFormat="1" x14ac:dyDescent="0.2">
      <c r="A175" s="24" t="s">
        <v>1324</v>
      </c>
      <c r="B175" s="25" t="s">
        <v>781</v>
      </c>
      <c r="C175" s="25" t="s">
        <v>782</v>
      </c>
      <c r="D175" s="26" t="s">
        <v>660</v>
      </c>
      <c r="E175" s="26"/>
      <c r="F175" s="27">
        <v>17.088000000000001</v>
      </c>
      <c r="G175" s="33">
        <v>2000</v>
      </c>
      <c r="H175" s="69">
        <f t="shared" si="2"/>
        <v>34176</v>
      </c>
      <c r="I175" s="23"/>
    </row>
    <row r="176" spans="1:9" s="1" customFormat="1" x14ac:dyDescent="0.2">
      <c r="A176" s="24" t="s">
        <v>1325</v>
      </c>
      <c r="B176" s="25" t="s">
        <v>147</v>
      </c>
      <c r="C176" s="25" t="s">
        <v>148</v>
      </c>
      <c r="D176" s="26" t="s">
        <v>38</v>
      </c>
      <c r="E176" s="26"/>
      <c r="F176" s="27">
        <v>9.8800000000000008</v>
      </c>
      <c r="G176" s="33">
        <v>150000</v>
      </c>
      <c r="H176" s="69">
        <f t="shared" si="2"/>
        <v>1482000.0000000002</v>
      </c>
      <c r="I176" s="23"/>
    </row>
    <row r="177" spans="1:9" s="1" customFormat="1" ht="24" x14ac:dyDescent="0.2">
      <c r="A177" s="24" t="s">
        <v>1326</v>
      </c>
      <c r="B177" s="25" t="s">
        <v>1266</v>
      </c>
      <c r="C177" s="25" t="s">
        <v>1267</v>
      </c>
      <c r="D177" s="26" t="s">
        <v>250</v>
      </c>
      <c r="E177" s="26"/>
      <c r="F177" s="27">
        <v>0.21</v>
      </c>
      <c r="G177" s="33">
        <v>4500</v>
      </c>
      <c r="H177" s="69">
        <f t="shared" si="2"/>
        <v>945</v>
      </c>
      <c r="I177" s="23"/>
    </row>
    <row r="178" spans="1:9" s="1" customFormat="1" x14ac:dyDescent="0.2">
      <c r="A178" s="24" t="s">
        <v>1327</v>
      </c>
      <c r="B178" s="25" t="s">
        <v>1269</v>
      </c>
      <c r="C178" s="25" t="s">
        <v>1270</v>
      </c>
      <c r="D178" s="26" t="s">
        <v>250</v>
      </c>
      <c r="E178" s="26"/>
      <c r="F178" s="27">
        <v>1.01</v>
      </c>
      <c r="G178" s="33">
        <v>4500</v>
      </c>
      <c r="H178" s="69">
        <f t="shared" si="2"/>
        <v>4545</v>
      </c>
      <c r="I178" s="23"/>
    </row>
    <row r="179" spans="1:9" s="1" customFormat="1" ht="24" x14ac:dyDescent="0.2">
      <c r="A179" s="24" t="s">
        <v>1328</v>
      </c>
      <c r="B179" s="25" t="s">
        <v>331</v>
      </c>
      <c r="C179" s="25" t="s">
        <v>332</v>
      </c>
      <c r="D179" s="26" t="s">
        <v>311</v>
      </c>
      <c r="E179" s="26"/>
      <c r="F179" s="27">
        <v>9.9841999999999995</v>
      </c>
      <c r="G179" s="33">
        <v>150000</v>
      </c>
      <c r="H179" s="69">
        <f t="shared" si="2"/>
        <v>1497630</v>
      </c>
      <c r="I179" s="23"/>
    </row>
    <row r="180" spans="1:9" s="1" customFormat="1" ht="48" x14ac:dyDescent="0.2">
      <c r="A180" s="24" t="s">
        <v>1329</v>
      </c>
      <c r="B180" s="25" t="s">
        <v>40</v>
      </c>
      <c r="C180" s="25" t="s">
        <v>41</v>
      </c>
      <c r="D180" s="26" t="s">
        <v>42</v>
      </c>
      <c r="E180" s="26"/>
      <c r="F180" s="27">
        <v>230.2071</v>
      </c>
      <c r="G180" s="33">
        <v>55000</v>
      </c>
      <c r="H180" s="69">
        <f t="shared" si="2"/>
        <v>12661390.5</v>
      </c>
      <c r="I180" s="23"/>
    </row>
    <row r="181" spans="1:9" s="1" customFormat="1" x14ac:dyDescent="0.2">
      <c r="A181" s="24" t="s">
        <v>1330</v>
      </c>
      <c r="B181" s="25" t="s">
        <v>461</v>
      </c>
      <c r="C181" s="25" t="s">
        <v>462</v>
      </c>
      <c r="D181" s="26" t="s">
        <v>38</v>
      </c>
      <c r="E181" s="26"/>
      <c r="F181" s="27">
        <v>2440.86</v>
      </c>
      <c r="G181" s="33">
        <v>2000</v>
      </c>
      <c r="H181" s="69">
        <f t="shared" si="2"/>
        <v>4881720</v>
      </c>
      <c r="I181" s="23"/>
    </row>
    <row r="182" spans="1:9" s="1" customFormat="1" ht="24" x14ac:dyDescent="0.2">
      <c r="A182" s="24" t="s">
        <v>1331</v>
      </c>
      <c r="B182" s="25" t="s">
        <v>464</v>
      </c>
      <c r="C182" s="25" t="s">
        <v>465</v>
      </c>
      <c r="D182" s="26" t="s">
        <v>38</v>
      </c>
      <c r="E182" s="26"/>
      <c r="F182" s="27">
        <v>2488.7199999999998</v>
      </c>
      <c r="G182" s="33">
        <v>71428.57142857142</v>
      </c>
      <c r="H182" s="69">
        <f t="shared" si="2"/>
        <v>177765714.28571424</v>
      </c>
      <c r="I182" s="23"/>
    </row>
    <row r="183" spans="1:9" s="1" customFormat="1" x14ac:dyDescent="0.2">
      <c r="A183" s="24" t="s">
        <v>1332</v>
      </c>
      <c r="B183" s="25" t="s">
        <v>113</v>
      </c>
      <c r="C183" s="25" t="s">
        <v>114</v>
      </c>
      <c r="D183" s="26" t="s">
        <v>38</v>
      </c>
      <c r="E183" s="26"/>
      <c r="F183" s="27">
        <v>85.65</v>
      </c>
      <c r="G183" s="33">
        <v>650000</v>
      </c>
      <c r="H183" s="69">
        <f t="shared" si="2"/>
        <v>55672500</v>
      </c>
      <c r="I183" s="23"/>
    </row>
    <row r="184" spans="1:9" s="1" customFormat="1" ht="48" x14ac:dyDescent="0.2">
      <c r="A184" s="24" t="s">
        <v>1333</v>
      </c>
      <c r="B184" s="25" t="s">
        <v>1272</v>
      </c>
      <c r="C184" s="25" t="s">
        <v>1273</v>
      </c>
      <c r="D184" s="26" t="s">
        <v>250</v>
      </c>
      <c r="E184" s="26"/>
      <c r="F184" s="27">
        <v>0.71</v>
      </c>
      <c r="G184" s="33">
        <v>15000</v>
      </c>
      <c r="H184" s="69">
        <f t="shared" si="2"/>
        <v>10650</v>
      </c>
      <c r="I184" s="23"/>
    </row>
    <row r="185" spans="1:9" s="1" customFormat="1" x14ac:dyDescent="0.2">
      <c r="A185" s="24" t="s">
        <v>1334</v>
      </c>
      <c r="B185" s="25" t="s">
        <v>67</v>
      </c>
      <c r="C185" s="25" t="s">
        <v>68</v>
      </c>
      <c r="D185" s="26" t="s">
        <v>69</v>
      </c>
      <c r="E185" s="26"/>
      <c r="F185" s="27">
        <v>128.80000000000001</v>
      </c>
      <c r="G185" s="33">
        <v>46000</v>
      </c>
      <c r="H185" s="69">
        <f t="shared" si="2"/>
        <v>5924800.0000000009</v>
      </c>
      <c r="I185" s="23"/>
    </row>
    <row r="186" spans="1:9" s="1" customFormat="1" ht="24" x14ac:dyDescent="0.2">
      <c r="A186" s="24" t="s">
        <v>1335</v>
      </c>
      <c r="B186" s="25" t="s">
        <v>807</v>
      </c>
      <c r="C186" s="25" t="s">
        <v>786</v>
      </c>
      <c r="D186" s="26" t="s">
        <v>250</v>
      </c>
      <c r="E186" s="26"/>
      <c r="F186" s="27">
        <v>28.8386</v>
      </c>
      <c r="G186" s="33">
        <v>20982</v>
      </c>
      <c r="H186" s="69">
        <f t="shared" ref="H186:H213" si="3">+G186*F186</f>
        <v>605091.50520000001</v>
      </c>
      <c r="I186" s="23"/>
    </row>
    <row r="187" spans="1:9" s="1" customFormat="1" ht="24" x14ac:dyDescent="0.2">
      <c r="A187" s="24" t="s">
        <v>1336</v>
      </c>
      <c r="B187" s="25" t="s">
        <v>809</v>
      </c>
      <c r="C187" s="25" t="s">
        <v>788</v>
      </c>
      <c r="D187" s="26" t="s">
        <v>250</v>
      </c>
      <c r="E187" s="26"/>
      <c r="F187" s="27">
        <v>151.78200000000001</v>
      </c>
      <c r="G187" s="33">
        <v>5892</v>
      </c>
      <c r="H187" s="69">
        <f t="shared" si="3"/>
        <v>894299.54400000011</v>
      </c>
      <c r="I187" s="23"/>
    </row>
    <row r="188" spans="1:9" s="1" customFormat="1" ht="24" x14ac:dyDescent="0.2">
      <c r="A188" s="24" t="s">
        <v>1337</v>
      </c>
      <c r="B188" s="25" t="s">
        <v>553</v>
      </c>
      <c r="C188" s="25" t="s">
        <v>554</v>
      </c>
      <c r="D188" s="26" t="s">
        <v>38</v>
      </c>
      <c r="E188" s="26"/>
      <c r="F188" s="27">
        <v>2400.7446</v>
      </c>
      <c r="G188" s="33">
        <v>30357</v>
      </c>
      <c r="H188" s="69">
        <f t="shared" si="3"/>
        <v>72879403.8222</v>
      </c>
      <c r="I188" s="23"/>
    </row>
    <row r="189" spans="1:9" s="1" customFormat="1" x14ac:dyDescent="0.2">
      <c r="A189" s="24" t="s">
        <v>1338</v>
      </c>
      <c r="B189" s="25" t="s">
        <v>1148</v>
      </c>
      <c r="C189" s="25" t="s">
        <v>1149</v>
      </c>
      <c r="D189" s="26" t="s">
        <v>38</v>
      </c>
      <c r="E189" s="26"/>
      <c r="F189" s="34">
        <v>79</v>
      </c>
      <c r="G189" s="33">
        <v>18750</v>
      </c>
      <c r="H189" s="69">
        <f t="shared" si="3"/>
        <v>1481250</v>
      </c>
      <c r="I189" s="23"/>
    </row>
    <row r="190" spans="1:9" s="1" customFormat="1" x14ac:dyDescent="0.2">
      <c r="A190" s="24" t="s">
        <v>1339</v>
      </c>
      <c r="B190" s="25" t="s">
        <v>1167</v>
      </c>
      <c r="C190" s="25" t="s">
        <v>1168</v>
      </c>
      <c r="D190" s="26" t="s">
        <v>38</v>
      </c>
      <c r="E190" s="26"/>
      <c r="F190" s="27">
        <v>39.5</v>
      </c>
      <c r="G190" s="33">
        <v>18750</v>
      </c>
      <c r="H190" s="69">
        <f t="shared" si="3"/>
        <v>740625</v>
      </c>
      <c r="I190" s="23"/>
    </row>
    <row r="191" spans="1:9" s="1" customFormat="1" x14ac:dyDescent="0.2">
      <c r="A191" s="24" t="s">
        <v>1340</v>
      </c>
      <c r="B191" s="25" t="s">
        <v>833</v>
      </c>
      <c r="C191" s="25" t="s">
        <v>834</v>
      </c>
      <c r="D191" s="26" t="s">
        <v>69</v>
      </c>
      <c r="E191" s="26"/>
      <c r="F191" s="27">
        <v>168.4632</v>
      </c>
      <c r="G191" s="33">
        <v>6000</v>
      </c>
      <c r="H191" s="69">
        <f t="shared" si="3"/>
        <v>1010779.2</v>
      </c>
      <c r="I191" s="23"/>
    </row>
    <row r="192" spans="1:9" s="1" customFormat="1" x14ac:dyDescent="0.2">
      <c r="A192" s="24" t="s">
        <v>1341</v>
      </c>
      <c r="B192" s="25" t="s">
        <v>170</v>
      </c>
      <c r="C192" s="25" t="s">
        <v>171</v>
      </c>
      <c r="D192" s="26" t="s">
        <v>107</v>
      </c>
      <c r="E192" s="26"/>
      <c r="F192" s="27">
        <v>4.3749999999999997E-2</v>
      </c>
      <c r="G192" s="33">
        <v>9000000</v>
      </c>
      <c r="H192" s="69">
        <f t="shared" si="3"/>
        <v>393750</v>
      </c>
      <c r="I192" s="23"/>
    </row>
    <row r="193" spans="1:9" s="1" customFormat="1" x14ac:dyDescent="0.2">
      <c r="A193" s="24" t="s">
        <v>1342</v>
      </c>
      <c r="B193" s="25" t="s">
        <v>1123</v>
      </c>
      <c r="C193" s="25" t="s">
        <v>1124</v>
      </c>
      <c r="D193" s="26" t="s">
        <v>38</v>
      </c>
      <c r="E193" s="26"/>
      <c r="F193" s="27">
        <v>31.6</v>
      </c>
      <c r="G193" s="33">
        <v>86598</v>
      </c>
      <c r="H193" s="69">
        <f t="shared" si="3"/>
        <v>2736496.8000000003</v>
      </c>
      <c r="I193" s="23"/>
    </row>
    <row r="194" spans="1:9" s="1" customFormat="1" x14ac:dyDescent="0.2">
      <c r="A194" s="24" t="s">
        <v>1343</v>
      </c>
      <c r="B194" s="25" t="s">
        <v>1035</v>
      </c>
      <c r="C194" s="25" t="s">
        <v>1036</v>
      </c>
      <c r="D194" s="26" t="s">
        <v>38</v>
      </c>
      <c r="E194" s="26"/>
      <c r="F194" s="27">
        <v>318.32</v>
      </c>
      <c r="G194" s="33">
        <v>2500</v>
      </c>
      <c r="H194" s="69">
        <f t="shared" si="3"/>
        <v>795800</v>
      </c>
      <c r="I194" s="23"/>
    </row>
    <row r="195" spans="1:9" s="1" customFormat="1" x14ac:dyDescent="0.2">
      <c r="A195" s="24" t="s">
        <v>1344</v>
      </c>
      <c r="B195" s="25" t="s">
        <v>1095</v>
      </c>
      <c r="C195" s="25" t="s">
        <v>1096</v>
      </c>
      <c r="D195" s="26" t="s">
        <v>42</v>
      </c>
      <c r="E195" s="26"/>
      <c r="F195" s="34">
        <v>300</v>
      </c>
      <c r="G195" s="33">
        <v>200</v>
      </c>
      <c r="H195" s="69">
        <f t="shared" si="3"/>
        <v>60000</v>
      </c>
      <c r="I195" s="23"/>
    </row>
    <row r="196" spans="1:9" s="1" customFormat="1" x14ac:dyDescent="0.2">
      <c r="A196" s="24" t="s">
        <v>1345</v>
      </c>
      <c r="B196" s="25" t="s">
        <v>1092</v>
      </c>
      <c r="C196" s="25" t="s">
        <v>1093</v>
      </c>
      <c r="D196" s="26" t="s">
        <v>38</v>
      </c>
      <c r="E196" s="26"/>
      <c r="F196" s="27">
        <v>2.94</v>
      </c>
      <c r="G196" s="33">
        <v>10000</v>
      </c>
      <c r="H196" s="69">
        <f t="shared" si="3"/>
        <v>29400</v>
      </c>
      <c r="I196" s="23"/>
    </row>
    <row r="197" spans="1:9" s="1" customFormat="1" x14ac:dyDescent="0.2">
      <c r="A197" s="24" t="s">
        <v>1346</v>
      </c>
      <c r="B197" s="25" t="s">
        <v>500</v>
      </c>
      <c r="C197" s="25" t="s">
        <v>1090</v>
      </c>
      <c r="D197" s="26" t="s">
        <v>107</v>
      </c>
      <c r="E197" s="26"/>
      <c r="F197" s="27">
        <v>2.8979999999999999E-2</v>
      </c>
      <c r="G197" s="33">
        <v>8660714</v>
      </c>
      <c r="H197" s="69">
        <f t="shared" si="3"/>
        <v>250987.49171999999</v>
      </c>
      <c r="I197" s="23"/>
    </row>
    <row r="198" spans="1:9" s="1" customFormat="1" x14ac:dyDescent="0.2">
      <c r="A198" s="24" t="s">
        <v>1347</v>
      </c>
      <c r="B198" s="25" t="s">
        <v>500</v>
      </c>
      <c r="C198" s="25" t="s">
        <v>431</v>
      </c>
      <c r="D198" s="26" t="s">
        <v>38</v>
      </c>
      <c r="E198" s="26"/>
      <c r="F198" s="27">
        <v>19.68</v>
      </c>
      <c r="G198" s="33">
        <v>18032.14</v>
      </c>
      <c r="H198" s="69">
        <f t="shared" si="3"/>
        <v>354872.51519999997</v>
      </c>
      <c r="I198" s="23"/>
    </row>
    <row r="199" spans="1:9" s="1" customFormat="1" x14ac:dyDescent="0.2">
      <c r="A199" s="24" t="s">
        <v>1348</v>
      </c>
      <c r="B199" s="25" t="s">
        <v>430</v>
      </c>
      <c r="C199" s="25" t="s">
        <v>1088</v>
      </c>
      <c r="D199" s="26" t="s">
        <v>107</v>
      </c>
      <c r="E199" s="26"/>
      <c r="F199" s="27">
        <v>0.31774000000000002</v>
      </c>
      <c r="G199" s="33">
        <v>9643721</v>
      </c>
      <c r="H199" s="69">
        <f t="shared" si="3"/>
        <v>3064195.9105400001</v>
      </c>
      <c r="I199" s="23"/>
    </row>
    <row r="200" spans="1:9" s="1" customFormat="1" x14ac:dyDescent="0.2">
      <c r="A200" s="24" t="s">
        <v>1349</v>
      </c>
      <c r="B200" s="25" t="s">
        <v>430</v>
      </c>
      <c r="C200" s="25" t="s">
        <v>431</v>
      </c>
      <c r="D200" s="26" t="s">
        <v>38</v>
      </c>
      <c r="E200" s="26"/>
      <c r="F200" s="27">
        <v>239.3</v>
      </c>
      <c r="G200" s="33">
        <v>18032.14</v>
      </c>
      <c r="H200" s="69">
        <f t="shared" si="3"/>
        <v>4315091.102</v>
      </c>
      <c r="I200" s="23"/>
    </row>
    <row r="201" spans="1:9" s="1" customFormat="1" ht="24" x14ac:dyDescent="0.2">
      <c r="A201" s="24" t="s">
        <v>1350</v>
      </c>
      <c r="B201" s="25" t="s">
        <v>334</v>
      </c>
      <c r="C201" s="25" t="s">
        <v>335</v>
      </c>
      <c r="D201" s="26" t="s">
        <v>38</v>
      </c>
      <c r="E201" s="26"/>
      <c r="F201" s="27">
        <v>713.16</v>
      </c>
      <c r="G201" s="33">
        <v>43299</v>
      </c>
      <c r="H201" s="69">
        <f t="shared" si="3"/>
        <v>30879114.84</v>
      </c>
      <c r="I201" s="23"/>
    </row>
    <row r="202" spans="1:9" s="1" customFormat="1" x14ac:dyDescent="0.2">
      <c r="A202" s="24" t="s">
        <v>1351</v>
      </c>
      <c r="B202" s="25" t="s">
        <v>334</v>
      </c>
      <c r="C202" s="25" t="s">
        <v>1086</v>
      </c>
      <c r="D202" s="26" t="s">
        <v>107</v>
      </c>
      <c r="E202" s="26"/>
      <c r="F202" s="27">
        <v>8.8400000000000006E-2</v>
      </c>
      <c r="G202" s="33">
        <v>9642941</v>
      </c>
      <c r="H202" s="69">
        <f t="shared" si="3"/>
        <v>852435.98440000007</v>
      </c>
      <c r="I202" s="23"/>
    </row>
    <row r="203" spans="1:9" s="1" customFormat="1" ht="24" x14ac:dyDescent="0.2">
      <c r="A203" s="24" t="s">
        <v>1352</v>
      </c>
      <c r="B203" s="25" t="s">
        <v>1043</v>
      </c>
      <c r="C203" s="25" t="s">
        <v>1044</v>
      </c>
      <c r="D203" s="26" t="s">
        <v>38</v>
      </c>
      <c r="E203" s="26"/>
      <c r="F203" s="27">
        <v>286.72000000000003</v>
      </c>
      <c r="G203" s="33">
        <v>113438</v>
      </c>
      <c r="H203" s="69">
        <f t="shared" si="3"/>
        <v>32524943.360000003</v>
      </c>
      <c r="I203" s="23"/>
    </row>
    <row r="204" spans="1:9" s="1" customFormat="1" x14ac:dyDescent="0.2">
      <c r="A204" s="24" t="s">
        <v>1353</v>
      </c>
      <c r="B204" s="25" t="s">
        <v>1000</v>
      </c>
      <c r="C204" s="25" t="s">
        <v>1001</v>
      </c>
      <c r="D204" s="26" t="s">
        <v>69</v>
      </c>
      <c r="E204" s="26"/>
      <c r="F204" s="27">
        <v>10.8</v>
      </c>
      <c r="G204" s="33">
        <v>100000</v>
      </c>
      <c r="H204" s="69">
        <f t="shared" si="3"/>
        <v>1080000</v>
      </c>
      <c r="I204" s="23"/>
    </row>
    <row r="205" spans="1:9" s="1" customFormat="1" x14ac:dyDescent="0.2">
      <c r="A205" s="24" t="s">
        <v>1354</v>
      </c>
      <c r="B205" s="25" t="s">
        <v>956</v>
      </c>
      <c r="C205" s="25" t="s">
        <v>957</v>
      </c>
      <c r="D205" s="26" t="s">
        <v>42</v>
      </c>
      <c r="E205" s="26"/>
      <c r="F205" s="34">
        <v>8</v>
      </c>
      <c r="G205" s="33">
        <v>1400</v>
      </c>
      <c r="H205" s="69">
        <f t="shared" si="3"/>
        <v>11200</v>
      </c>
      <c r="I205" s="23"/>
    </row>
    <row r="206" spans="1:9" s="1" customFormat="1" x14ac:dyDescent="0.2">
      <c r="A206" s="24" t="s">
        <v>1355</v>
      </c>
      <c r="B206" s="25" t="s">
        <v>953</v>
      </c>
      <c r="C206" s="25" t="s">
        <v>954</v>
      </c>
      <c r="D206" s="26" t="s">
        <v>38</v>
      </c>
      <c r="E206" s="26"/>
      <c r="F206" s="27">
        <v>9.65</v>
      </c>
      <c r="G206" s="33">
        <v>75450</v>
      </c>
      <c r="H206" s="69">
        <f t="shared" si="3"/>
        <v>728092.5</v>
      </c>
      <c r="I206" s="23"/>
    </row>
    <row r="207" spans="1:9" s="1" customFormat="1" x14ac:dyDescent="0.2">
      <c r="A207" s="24" t="s">
        <v>1356</v>
      </c>
      <c r="B207" s="25" t="s">
        <v>173</v>
      </c>
      <c r="C207" s="25" t="s">
        <v>823</v>
      </c>
      <c r="D207" s="26" t="s">
        <v>69</v>
      </c>
      <c r="E207" s="26"/>
      <c r="F207" s="27">
        <v>169.28</v>
      </c>
      <c r="G207" s="33">
        <v>250000</v>
      </c>
      <c r="H207" s="69">
        <f t="shared" si="3"/>
        <v>42320000</v>
      </c>
      <c r="I207" s="23"/>
    </row>
    <row r="208" spans="1:9" s="1" customFormat="1" x14ac:dyDescent="0.2">
      <c r="A208" s="24" t="s">
        <v>1357</v>
      </c>
      <c r="B208" s="25" t="s">
        <v>173</v>
      </c>
      <c r="C208" s="25" t="s">
        <v>174</v>
      </c>
      <c r="D208" s="26" t="s">
        <v>38</v>
      </c>
      <c r="E208" s="26"/>
      <c r="F208" s="34">
        <v>3</v>
      </c>
      <c r="G208" s="33">
        <v>9500</v>
      </c>
      <c r="H208" s="69">
        <f t="shared" si="3"/>
        <v>28500</v>
      </c>
      <c r="I208" s="23"/>
    </row>
    <row r="209" spans="1:9" s="1" customFormat="1" x14ac:dyDescent="0.2">
      <c r="A209" s="24" t="s">
        <v>1358</v>
      </c>
      <c r="B209" s="25" t="s">
        <v>715</v>
      </c>
      <c r="C209" s="25" t="s">
        <v>718</v>
      </c>
      <c r="D209" s="26" t="s">
        <v>42</v>
      </c>
      <c r="E209" s="26"/>
      <c r="F209" s="34">
        <v>9600</v>
      </c>
      <c r="G209" s="33">
        <v>150</v>
      </c>
      <c r="H209" s="69">
        <f t="shared" si="3"/>
        <v>1440000</v>
      </c>
      <c r="I209" s="23"/>
    </row>
    <row r="210" spans="1:9" s="1" customFormat="1" ht="24" x14ac:dyDescent="0.2">
      <c r="A210" s="24" t="s">
        <v>1359</v>
      </c>
      <c r="B210" s="25" t="s">
        <v>715</v>
      </c>
      <c r="C210" s="25" t="s">
        <v>788</v>
      </c>
      <c r="D210" s="26" t="s">
        <v>250</v>
      </c>
      <c r="E210" s="26"/>
      <c r="F210" s="27">
        <v>4924.88</v>
      </c>
      <c r="G210" s="33">
        <v>5892</v>
      </c>
      <c r="H210" s="69">
        <f t="shared" si="3"/>
        <v>29017392.960000001</v>
      </c>
      <c r="I210" s="23"/>
    </row>
    <row r="211" spans="1:9" s="1" customFormat="1" ht="24" x14ac:dyDescent="0.2">
      <c r="A211" s="24" t="s">
        <v>1360</v>
      </c>
      <c r="B211" s="25" t="s">
        <v>715</v>
      </c>
      <c r="C211" s="25" t="s">
        <v>786</v>
      </c>
      <c r="D211" s="26" t="s">
        <v>250</v>
      </c>
      <c r="E211" s="26"/>
      <c r="F211" s="27">
        <v>935.72720000000004</v>
      </c>
      <c r="G211" s="33">
        <v>20982</v>
      </c>
      <c r="H211" s="69">
        <f t="shared" si="3"/>
        <v>19633428.110400002</v>
      </c>
      <c r="I211" s="23"/>
    </row>
    <row r="212" spans="1:9" s="1" customFormat="1" ht="36" x14ac:dyDescent="0.2">
      <c r="A212" s="24" t="s">
        <v>1361</v>
      </c>
      <c r="B212" s="25" t="s">
        <v>715</v>
      </c>
      <c r="C212" s="25" t="s">
        <v>784</v>
      </c>
      <c r="D212" s="26" t="s">
        <v>420</v>
      </c>
      <c r="E212" s="26"/>
      <c r="F212" s="34">
        <v>96</v>
      </c>
      <c r="G212" s="33">
        <v>1134380</v>
      </c>
      <c r="H212" s="69">
        <f t="shared" si="3"/>
        <v>108900480</v>
      </c>
      <c r="I212" s="23"/>
    </row>
    <row r="213" spans="1:9" s="1" customFormat="1" x14ac:dyDescent="0.2">
      <c r="A213" s="24" t="s">
        <v>1362</v>
      </c>
      <c r="B213" s="25" t="s">
        <v>715</v>
      </c>
      <c r="C213" s="25" t="s">
        <v>716</v>
      </c>
      <c r="D213" s="26" t="s">
        <v>420</v>
      </c>
      <c r="E213" s="26"/>
      <c r="F213" s="34">
        <v>10</v>
      </c>
      <c r="G213" s="33">
        <v>432990</v>
      </c>
      <c r="H213" s="69">
        <f t="shared" si="3"/>
        <v>4329900</v>
      </c>
      <c r="I213" s="23"/>
    </row>
    <row r="214" spans="1:9" s="1" customFormat="1" ht="12.75" customHeight="1" x14ac:dyDescent="0.2">
      <c r="A214" s="29"/>
      <c r="B214" s="76" t="s">
        <v>1370</v>
      </c>
      <c r="C214" s="77"/>
      <c r="D214" s="30" t="s">
        <v>1368</v>
      </c>
      <c r="E214" s="30"/>
      <c r="F214" s="31"/>
      <c r="G214" s="32"/>
      <c r="H214" s="70">
        <f>SUM(H57:H213)</f>
        <v>1603983152.3028347</v>
      </c>
      <c r="I214" s="23"/>
    </row>
    <row r="215" spans="1:9" s="1" customFormat="1" x14ac:dyDescent="0.2">
      <c r="A215" s="78"/>
      <c r="B215" s="79"/>
      <c r="C215" s="79"/>
      <c r="D215" s="79"/>
      <c r="E215" s="79"/>
      <c r="F215" s="79"/>
      <c r="G215" s="79"/>
      <c r="H215" s="79"/>
      <c r="I215" s="23"/>
    </row>
    <row r="216" spans="1:9" s="1" customFormat="1" x14ac:dyDescent="0.2">
      <c r="A216" s="17"/>
      <c r="B216" s="18"/>
      <c r="C216" s="19" t="s">
        <v>1363</v>
      </c>
      <c r="D216" s="20"/>
      <c r="E216" s="20"/>
      <c r="F216" s="21"/>
      <c r="G216" s="22"/>
      <c r="H216" s="68"/>
      <c r="I216" s="23"/>
    </row>
    <row r="217" spans="1:9" s="1" customFormat="1" ht="24" x14ac:dyDescent="0.2">
      <c r="A217" s="24" t="s">
        <v>1364</v>
      </c>
      <c r="B217" s="25" t="s">
        <v>1304</v>
      </c>
      <c r="C217" s="25" t="s">
        <v>1305</v>
      </c>
      <c r="D217" s="26" t="s">
        <v>42</v>
      </c>
      <c r="E217" s="26"/>
      <c r="F217" s="34">
        <v>1</v>
      </c>
      <c r="G217" s="33">
        <v>247429000</v>
      </c>
      <c r="H217" s="69">
        <f>+G217*F217</f>
        <v>247429000</v>
      </c>
      <c r="I217" s="23"/>
    </row>
    <row r="218" spans="1:9" s="1" customFormat="1" ht="12.75" customHeight="1" x14ac:dyDescent="0.2">
      <c r="A218" s="29"/>
      <c r="B218" s="76" t="s">
        <v>1371</v>
      </c>
      <c r="C218" s="77"/>
      <c r="D218" s="30" t="s">
        <v>1368</v>
      </c>
      <c r="E218" s="30"/>
      <c r="F218" s="31"/>
      <c r="G218" s="32"/>
      <c r="H218" s="70">
        <f>+H217</f>
        <v>247429000</v>
      </c>
      <c r="I218" s="23"/>
    </row>
    <row r="219" spans="1:9" s="1" customFormat="1" x14ac:dyDescent="0.2">
      <c r="A219" s="78"/>
      <c r="B219" s="79"/>
      <c r="C219" s="79"/>
      <c r="D219" s="79"/>
      <c r="E219" s="79"/>
      <c r="F219" s="79"/>
      <c r="G219" s="79"/>
      <c r="H219" s="79"/>
      <c r="I219" s="23"/>
    </row>
    <row r="220" spans="1:9" s="1" customFormat="1" ht="12.75" customHeight="1" x14ac:dyDescent="0.2">
      <c r="A220" s="29"/>
      <c r="B220" s="76" t="s">
        <v>1372</v>
      </c>
      <c r="C220" s="77"/>
      <c r="D220" s="30" t="s">
        <v>1368</v>
      </c>
      <c r="E220" s="30"/>
      <c r="F220" s="31"/>
      <c r="G220" s="32"/>
      <c r="H220" s="70">
        <f>+H218+H214+H54+H19</f>
        <v>2345918431.1517959</v>
      </c>
      <c r="I220" s="23"/>
    </row>
    <row r="221" spans="1:9" s="1" customFormat="1" x14ac:dyDescent="0.2">
      <c r="A221" s="80"/>
      <c r="B221" s="80"/>
      <c r="C221" s="80"/>
      <c r="D221" s="80"/>
      <c r="E221" s="80"/>
      <c r="F221" s="80"/>
      <c r="G221" s="80"/>
      <c r="H221" s="80"/>
      <c r="I221" s="23"/>
    </row>
    <row r="222" spans="1:9" s="1" customFormat="1" ht="12.75" customHeight="1" x14ac:dyDescent="0.2">
      <c r="A222" s="71"/>
      <c r="B222" s="75" t="s">
        <v>1365</v>
      </c>
      <c r="C222" s="75"/>
      <c r="D222" s="75"/>
      <c r="E222" s="72"/>
      <c r="F222" s="75" t="s">
        <v>1366</v>
      </c>
      <c r="G222" s="75"/>
      <c r="H222" s="75"/>
      <c r="I222" s="23"/>
    </row>
  </sheetData>
  <printOptions horizontalCentered="1"/>
  <pageMargins left="0.39" right="0.39" top="0.59" bottom="0.59" header="0.39" footer="0.39"/>
  <pageSetup paperSize="9" fitToHeight="10000" orientation="landscape" horizontalDpi="300" verticalDpi="300" r:id="rId1"/>
  <headerFooter>
    <oddHeader>&amp;L&amp;9ПРОГРАММНЫЙ КОМПЛЕКС АВС-UZ (РЕДАКЦИЯ 2023.4)&amp;C&amp;P&amp;R1010</oddHeader>
    <oddFooter>&amp;CСтраниц -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2478-F59E-4D46-A4DB-568CEA7C729F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_ЛРВ</vt:lpstr>
      <vt:lpstr>_РС</vt:lpstr>
      <vt:lpstr>Лист1</vt:lpstr>
      <vt:lpstr>_ЛРВ!Заголовки_для_печати</vt:lpstr>
      <vt:lpstr>_РС!Заголовки_для_печати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ЛОКАЛЬНАЯ РЕСУРСНАЯ ВЕДОМОСТЬ</dc:title>
  <dc:creator>User</dc:creator>
  <cp:lastModifiedBy>User</cp:lastModifiedBy>
  <dcterms:created xsi:type="dcterms:W3CDTF">2008-02-01T06:52:42Z</dcterms:created>
  <dcterms:modified xsi:type="dcterms:W3CDTF">2026-07-23T14:09:32Z</dcterms:modified>
</cp:coreProperties>
</file>